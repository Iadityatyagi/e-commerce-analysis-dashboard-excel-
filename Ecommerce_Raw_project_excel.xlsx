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408" windowWidth="22644" windowHeight="8964" activeTab="3"/>
  </bookViews>
  <sheets>
    <sheet name="Ecommerce_Raw_Data (2)" sheetId="1" r:id="rId1"/>
    <sheet name="analysis" sheetId="2" r:id="rId2"/>
    <sheet name="pivot" sheetId="3" r:id="rId3"/>
    <sheet name="dashboard" sheetId="6" r:id="rId4"/>
  </sheets>
  <definedNames>
    <definedName name="order">'Ecommerce_Raw_Data (2)'!$N$3</definedName>
    <definedName name="orders">'Ecommerce_Raw_Data (2)'!$N$3</definedName>
  </definedNames>
  <calcPr calcId="124519"/>
  <pivotCaches>
    <pivotCache cacheId="0" r:id="rId5"/>
  </pivotCaches>
  <fileRecoveryPr repairLoad="1"/>
</workbook>
</file>

<file path=xl/calcChain.xml><?xml version="1.0" encoding="utf-8"?>
<calcChain xmlns="http://schemas.openxmlformats.org/spreadsheetml/2006/main">
  <c r="B27" i="2"/>
  <c r="B23"/>
  <c r="B21"/>
  <c r="B15"/>
  <c r="N1101" i="1"/>
  <c r="M1101"/>
  <c r="N1100"/>
  <c r="M1100"/>
  <c r="N1099"/>
  <c r="M1099"/>
  <c r="N1098"/>
  <c r="M1098"/>
  <c r="N1097"/>
  <c r="M1097"/>
  <c r="N1096"/>
  <c r="M1096"/>
  <c r="L1096"/>
  <c r="N1095"/>
  <c r="M1095"/>
  <c r="N1094"/>
  <c r="M1094"/>
  <c r="N1093"/>
  <c r="M1093"/>
  <c r="N1092"/>
  <c r="M1092"/>
  <c r="N1091"/>
  <c r="M1091"/>
  <c r="N1090"/>
  <c r="M1090"/>
  <c r="N1089"/>
  <c r="M1089"/>
  <c r="N1088"/>
  <c r="M1088"/>
  <c r="N1087"/>
  <c r="M1087"/>
  <c r="N1086"/>
  <c r="M1086"/>
  <c r="M1085"/>
  <c r="L1085"/>
  <c r="N1085" s="1"/>
  <c r="N1084"/>
  <c r="M1084"/>
  <c r="N1083"/>
  <c r="M1083"/>
  <c r="N1082"/>
  <c r="M1082"/>
  <c r="N1081"/>
  <c r="M1081"/>
  <c r="N1080"/>
  <c r="M1080"/>
  <c r="N1079"/>
  <c r="M1079"/>
  <c r="N1078"/>
  <c r="M1078"/>
  <c r="N1077"/>
  <c r="M1077"/>
  <c r="N1076"/>
  <c r="M1076"/>
  <c r="N1075"/>
  <c r="M1075"/>
  <c r="N1074"/>
  <c r="M1074"/>
  <c r="N1073"/>
  <c r="M1073"/>
  <c r="N1072"/>
  <c r="M1072"/>
  <c r="N1071"/>
  <c r="M1071"/>
  <c r="N1070"/>
  <c r="M1070"/>
  <c r="N1069"/>
  <c r="M1069"/>
  <c r="N1068"/>
  <c r="M1068"/>
  <c r="N1067"/>
  <c r="M1067"/>
  <c r="N1066"/>
  <c r="M1066"/>
  <c r="N1065"/>
  <c r="M1065"/>
  <c r="N1064"/>
  <c r="M1064"/>
  <c r="N1063"/>
  <c r="M1063"/>
  <c r="N1062"/>
  <c r="M1062"/>
  <c r="N1061"/>
  <c r="M1061"/>
  <c r="N1060"/>
  <c r="M1060"/>
  <c r="L1060"/>
  <c r="N1059"/>
  <c r="M1059"/>
  <c r="N1058"/>
  <c r="M1058"/>
  <c r="N1057"/>
  <c r="M1057"/>
  <c r="N1056"/>
  <c r="M1056"/>
  <c r="N1055"/>
  <c r="M1055"/>
  <c r="N1054"/>
  <c r="M1054"/>
  <c r="N1053"/>
  <c r="M1053"/>
  <c r="L1053"/>
  <c r="N1052"/>
  <c r="M1052"/>
  <c r="N1051"/>
  <c r="M1051"/>
  <c r="N1050"/>
  <c r="M1050"/>
  <c r="N1049"/>
  <c r="M1049"/>
  <c r="N1048"/>
  <c r="M1048"/>
  <c r="N1047"/>
  <c r="M1047"/>
  <c r="N1046"/>
  <c r="M1046"/>
  <c r="N1045"/>
  <c r="M1045"/>
  <c r="N1044"/>
  <c r="M1044"/>
  <c r="N1043"/>
  <c r="M1043"/>
  <c r="N1042"/>
  <c r="M1042"/>
  <c r="N1041"/>
  <c r="M1041"/>
  <c r="N1040"/>
  <c r="M1040"/>
  <c r="N1039"/>
  <c r="M1039"/>
  <c r="N1038"/>
  <c r="M1038"/>
  <c r="N1037"/>
  <c r="M1037"/>
  <c r="N1036"/>
  <c r="M1036"/>
  <c r="N1035"/>
  <c r="M1035"/>
  <c r="N1034"/>
  <c r="M1034"/>
  <c r="N1033"/>
  <c r="M1033"/>
  <c r="N1032"/>
  <c r="M1032"/>
  <c r="N1031"/>
  <c r="M1031"/>
  <c r="N1030"/>
  <c r="M1030"/>
  <c r="N1029"/>
  <c r="M1029"/>
  <c r="N1028"/>
  <c r="M1028"/>
  <c r="N1027"/>
  <c r="M1027"/>
  <c r="N1026"/>
  <c r="M1026"/>
  <c r="N1025"/>
  <c r="M1025"/>
  <c r="N1024"/>
  <c r="M1024"/>
  <c r="N1023"/>
  <c r="M1023"/>
  <c r="N1022"/>
  <c r="M1022"/>
  <c r="N1021"/>
  <c r="M1021"/>
  <c r="N1020"/>
  <c r="M1020"/>
  <c r="N1019"/>
  <c r="M1019"/>
  <c r="N1018"/>
  <c r="M1018"/>
  <c r="N1017"/>
  <c r="M1017"/>
  <c r="N1016"/>
  <c r="M1016"/>
  <c r="L1016"/>
  <c r="N1015"/>
  <c r="M1015"/>
  <c r="N1014"/>
  <c r="M1014"/>
  <c r="N1013"/>
  <c r="M1013"/>
  <c r="N1012"/>
  <c r="M1012"/>
  <c r="N1011"/>
  <c r="M1011"/>
  <c r="N1010"/>
  <c r="M1010"/>
  <c r="N1009"/>
  <c r="M1009"/>
  <c r="N1008"/>
  <c r="M1008"/>
  <c r="N1007"/>
  <c r="M1007"/>
  <c r="N1006"/>
  <c r="M1006"/>
  <c r="N1005"/>
  <c r="M1005"/>
  <c r="N1004"/>
  <c r="M1004"/>
  <c r="N1003"/>
  <c r="M1003"/>
  <c r="N1002"/>
  <c r="M1002"/>
  <c r="N1001"/>
  <c r="M1001"/>
  <c r="N1000"/>
  <c r="M1000"/>
  <c r="N999"/>
  <c r="M999"/>
  <c r="N998"/>
  <c r="M998"/>
  <c r="N997"/>
  <c r="M997"/>
  <c r="N996"/>
  <c r="M996"/>
  <c r="N995"/>
  <c r="M995"/>
  <c r="N994"/>
  <c r="M994"/>
  <c r="N993"/>
  <c r="M993"/>
  <c r="N992"/>
  <c r="M992"/>
  <c r="N991"/>
  <c r="M991"/>
  <c r="N990"/>
  <c r="M990"/>
  <c r="N989"/>
  <c r="M989"/>
  <c r="N988"/>
  <c r="M988"/>
  <c r="N987"/>
  <c r="M987"/>
  <c r="N986"/>
  <c r="M986"/>
  <c r="N985"/>
  <c r="M985"/>
  <c r="N984"/>
  <c r="M984"/>
  <c r="N983"/>
  <c r="M983"/>
  <c r="N982"/>
  <c r="M982"/>
  <c r="N981"/>
  <c r="M981"/>
  <c r="N980"/>
  <c r="M980"/>
  <c r="N979"/>
  <c r="M979"/>
  <c r="N978"/>
  <c r="M978"/>
  <c r="N977"/>
  <c r="M977"/>
  <c r="N976"/>
  <c r="M976"/>
  <c r="N975"/>
  <c r="M975"/>
  <c r="N974"/>
  <c r="M974"/>
  <c r="N973"/>
  <c r="M973"/>
  <c r="N972"/>
  <c r="M972"/>
  <c r="N971"/>
  <c r="M971"/>
  <c r="N970"/>
  <c r="M970"/>
  <c r="N969"/>
  <c r="M969"/>
  <c r="N968"/>
  <c r="M968"/>
  <c r="N967"/>
  <c r="M967"/>
  <c r="N966"/>
  <c r="M966"/>
  <c r="N965"/>
  <c r="M965"/>
  <c r="N964"/>
  <c r="M964"/>
  <c r="N963"/>
  <c r="M963"/>
  <c r="N962"/>
  <c r="M962"/>
  <c r="N961"/>
  <c r="M961"/>
  <c r="N960"/>
  <c r="M960"/>
  <c r="N959"/>
  <c r="M959"/>
  <c r="N958"/>
  <c r="M958"/>
  <c r="N957"/>
  <c r="M957"/>
  <c r="N956"/>
  <c r="M956"/>
  <c r="N955"/>
  <c r="M955"/>
  <c r="N954"/>
  <c r="M954"/>
  <c r="N953"/>
  <c r="M953"/>
  <c r="N952"/>
  <c r="M952"/>
  <c r="N951"/>
  <c r="M951"/>
  <c r="N950"/>
  <c r="M950"/>
  <c r="N949"/>
  <c r="M949"/>
  <c r="N948"/>
  <c r="M948"/>
  <c r="N947"/>
  <c r="M947"/>
  <c r="N946"/>
  <c r="M946"/>
  <c r="N945"/>
  <c r="M945"/>
  <c r="N944"/>
  <c r="M944"/>
  <c r="N943"/>
  <c r="M943"/>
  <c r="N942"/>
  <c r="M942"/>
  <c r="N941"/>
  <c r="M941"/>
  <c r="N940"/>
  <c r="M940"/>
  <c r="N939"/>
  <c r="M939"/>
  <c r="M938"/>
  <c r="L938"/>
  <c r="N938" s="1"/>
  <c r="N937"/>
  <c r="M937"/>
  <c r="N936"/>
  <c r="M936"/>
  <c r="N935"/>
  <c r="M935"/>
  <c r="N934"/>
  <c r="M934"/>
  <c r="N933"/>
  <c r="M933"/>
  <c r="N932"/>
  <c r="M932"/>
  <c r="N931"/>
  <c r="M931"/>
  <c r="N930"/>
  <c r="M930"/>
  <c r="N929"/>
  <c r="M929"/>
  <c r="N928"/>
  <c r="M928"/>
  <c r="N927"/>
  <c r="M927"/>
  <c r="N926"/>
  <c r="M926"/>
  <c r="N925"/>
  <c r="M925"/>
  <c r="N924"/>
  <c r="M924"/>
  <c r="N923"/>
  <c r="M923"/>
  <c r="N922"/>
  <c r="M922"/>
  <c r="N921"/>
  <c r="M921"/>
  <c r="N920"/>
  <c r="M920"/>
  <c r="N919"/>
  <c r="M919"/>
  <c r="N918"/>
  <c r="M918"/>
  <c r="N917"/>
  <c r="M917"/>
  <c r="N916"/>
  <c r="M916"/>
  <c r="N915"/>
  <c r="M915"/>
  <c r="N914"/>
  <c r="M914"/>
  <c r="L914"/>
  <c r="N913"/>
  <c r="M913"/>
  <c r="N912"/>
  <c r="M912"/>
  <c r="N911"/>
  <c r="M911"/>
  <c r="N910"/>
  <c r="M910"/>
  <c r="N909"/>
  <c r="M909"/>
  <c r="N908"/>
  <c r="M908"/>
  <c r="N907"/>
  <c r="M907"/>
  <c r="N906"/>
  <c r="M906"/>
  <c r="N905"/>
  <c r="M905"/>
  <c r="N904"/>
  <c r="M904"/>
  <c r="N903"/>
  <c r="M903"/>
  <c r="N902"/>
  <c r="M902"/>
  <c r="N901"/>
  <c r="M901"/>
  <c r="N900"/>
  <c r="M900"/>
  <c r="N899"/>
  <c r="M899"/>
  <c r="N898"/>
  <c r="M898"/>
  <c r="M897"/>
  <c r="L897"/>
  <c r="N897" s="1"/>
  <c r="N896"/>
  <c r="M896"/>
  <c r="N895"/>
  <c r="M895"/>
  <c r="N894"/>
  <c r="M894"/>
  <c r="N893"/>
  <c r="M893"/>
  <c r="N892"/>
  <c r="M892"/>
  <c r="N891"/>
  <c r="M891"/>
  <c r="N890"/>
  <c r="M890"/>
  <c r="N889"/>
  <c r="M889"/>
  <c r="N888"/>
  <c r="M888"/>
  <c r="N887"/>
  <c r="M887"/>
  <c r="N886"/>
  <c r="M886"/>
  <c r="N885"/>
  <c r="M885"/>
  <c r="N884"/>
  <c r="M884"/>
  <c r="N883"/>
  <c r="M883"/>
  <c r="N882"/>
  <c r="M882"/>
  <c r="N881"/>
  <c r="M881"/>
  <c r="N880"/>
  <c r="M880"/>
  <c r="N879"/>
  <c r="M879"/>
  <c r="N878"/>
  <c r="M878"/>
  <c r="N877"/>
  <c r="M877"/>
  <c r="N876"/>
  <c r="M876"/>
  <c r="N875"/>
  <c r="M875"/>
  <c r="N874"/>
  <c r="M874"/>
  <c r="N873"/>
  <c r="M873"/>
  <c r="N872"/>
  <c r="M872"/>
  <c r="N871"/>
  <c r="M871"/>
  <c r="N870"/>
  <c r="M870"/>
  <c r="N869"/>
  <c r="M869"/>
  <c r="N868"/>
  <c r="M868"/>
  <c r="N867"/>
  <c r="M867"/>
  <c r="N866"/>
  <c r="M866"/>
  <c r="N865"/>
  <c r="M865"/>
  <c r="N864"/>
  <c r="M864"/>
  <c r="N863"/>
  <c r="M863"/>
  <c r="N862"/>
  <c r="M862"/>
  <c r="N861"/>
  <c r="M861"/>
  <c r="N860"/>
  <c r="M860"/>
  <c r="N859"/>
  <c r="M859"/>
  <c r="N858"/>
  <c r="M858"/>
  <c r="N857"/>
  <c r="M857"/>
  <c r="N856"/>
  <c r="M856"/>
  <c r="N855"/>
  <c r="M855"/>
  <c r="M854"/>
  <c r="L854"/>
  <c r="N854" s="1"/>
  <c r="N853"/>
  <c r="M853"/>
  <c r="N852"/>
  <c r="M852"/>
  <c r="N851"/>
  <c r="M851"/>
  <c r="M850"/>
  <c r="L850"/>
  <c r="N850" s="1"/>
  <c r="N849"/>
  <c r="M849"/>
  <c r="N848"/>
  <c r="M848"/>
  <c r="N847"/>
  <c r="M847"/>
  <c r="N846"/>
  <c r="M846"/>
  <c r="N845"/>
  <c r="M845"/>
  <c r="N844"/>
  <c r="M844"/>
  <c r="N843"/>
  <c r="M843"/>
  <c r="N842"/>
  <c r="M842"/>
  <c r="N841"/>
  <c r="M841"/>
  <c r="N840"/>
  <c r="M840"/>
  <c r="N839"/>
  <c r="M839"/>
  <c r="N838"/>
  <c r="M838"/>
  <c r="N837"/>
  <c r="M837"/>
  <c r="N836"/>
  <c r="M836"/>
  <c r="N835"/>
  <c r="M835"/>
  <c r="N834"/>
  <c r="M834"/>
  <c r="N833"/>
  <c r="M833"/>
  <c r="N832"/>
  <c r="M832"/>
  <c r="N831"/>
  <c r="M831"/>
  <c r="N830"/>
  <c r="M830"/>
  <c r="N829"/>
  <c r="M829"/>
  <c r="N828"/>
  <c r="M828"/>
  <c r="N827"/>
  <c r="M827"/>
  <c r="N826"/>
  <c r="M826"/>
  <c r="N825"/>
  <c r="M825"/>
  <c r="N824"/>
  <c r="M824"/>
  <c r="N823"/>
  <c r="M823"/>
  <c r="N822"/>
  <c r="M822"/>
  <c r="N821"/>
  <c r="M821"/>
  <c r="N820"/>
  <c r="M820"/>
  <c r="N819"/>
  <c r="M819"/>
  <c r="N818"/>
  <c r="M818"/>
  <c r="N817"/>
  <c r="M817"/>
  <c r="N816"/>
  <c r="M816"/>
  <c r="N815"/>
  <c r="M815"/>
  <c r="N814"/>
  <c r="M814"/>
  <c r="N813"/>
  <c r="M813"/>
  <c r="N812"/>
  <c r="M812"/>
  <c r="N811"/>
  <c r="M811"/>
  <c r="N810"/>
  <c r="M810"/>
  <c r="N809"/>
  <c r="M809"/>
  <c r="N808"/>
  <c r="M808"/>
  <c r="N807"/>
  <c r="M807"/>
  <c r="N806"/>
  <c r="M806"/>
  <c r="N805"/>
  <c r="M805"/>
  <c r="N804"/>
  <c r="M804"/>
  <c r="N803"/>
  <c r="M803"/>
  <c r="L803"/>
  <c r="N802"/>
  <c r="M802"/>
  <c r="N801"/>
  <c r="M801"/>
  <c r="N800"/>
  <c r="M800"/>
  <c r="L800"/>
  <c r="N799"/>
  <c r="M799"/>
  <c r="N798"/>
  <c r="M798"/>
  <c r="N797"/>
  <c r="M797"/>
  <c r="N796"/>
  <c r="M796"/>
  <c r="N795"/>
  <c r="M795"/>
  <c r="N794"/>
  <c r="M794"/>
  <c r="N793"/>
  <c r="M793"/>
  <c r="N792"/>
  <c r="M792"/>
  <c r="N791"/>
  <c r="M791"/>
  <c r="N790"/>
  <c r="M790"/>
  <c r="N789"/>
  <c r="M789"/>
  <c r="N788"/>
  <c r="M788"/>
  <c r="N787"/>
  <c r="M787"/>
  <c r="N786"/>
  <c r="M786"/>
  <c r="N785"/>
  <c r="M785"/>
  <c r="N784"/>
  <c r="M784"/>
  <c r="N783"/>
  <c r="M783"/>
  <c r="N782"/>
  <c r="M782"/>
  <c r="N781"/>
  <c r="M781"/>
  <c r="N780"/>
  <c r="M780"/>
  <c r="L780"/>
  <c r="N779"/>
  <c r="M779"/>
  <c r="N778"/>
  <c r="M778"/>
  <c r="N777"/>
  <c r="M777"/>
  <c r="N776"/>
  <c r="M776"/>
  <c r="N775"/>
  <c r="M775"/>
  <c r="M774"/>
  <c r="L774"/>
  <c r="N774" s="1"/>
  <c r="N773"/>
  <c r="M773"/>
  <c r="N772"/>
  <c r="M772"/>
  <c r="N771"/>
  <c r="M771"/>
  <c r="N770"/>
  <c r="M770"/>
  <c r="N769"/>
  <c r="M769"/>
  <c r="N768"/>
  <c r="M768"/>
  <c r="N767"/>
  <c r="M767"/>
  <c r="N766"/>
  <c r="M766"/>
  <c r="N765"/>
  <c r="M765"/>
  <c r="M764"/>
  <c r="L764"/>
  <c r="N764" s="1"/>
  <c r="N763"/>
  <c r="M763"/>
  <c r="N762"/>
  <c r="M762"/>
  <c r="N761"/>
  <c r="M761"/>
  <c r="N760"/>
  <c r="M760"/>
  <c r="N759"/>
  <c r="M759"/>
  <c r="N758"/>
  <c r="M758"/>
  <c r="N757"/>
  <c r="M757"/>
  <c r="N756"/>
  <c r="M756"/>
  <c r="N755"/>
  <c r="M755"/>
  <c r="N754"/>
  <c r="M754"/>
  <c r="N753"/>
  <c r="M753"/>
  <c r="N752"/>
  <c r="M752"/>
  <c r="N751"/>
  <c r="M751"/>
  <c r="N750"/>
  <c r="M750"/>
  <c r="N749"/>
  <c r="M749"/>
  <c r="L749"/>
  <c r="N748"/>
  <c r="M748"/>
  <c r="N747"/>
  <c r="M747"/>
  <c r="N746"/>
  <c r="M746"/>
  <c r="N745"/>
  <c r="M745"/>
  <c r="N744"/>
  <c r="M744"/>
  <c r="N743"/>
  <c r="M743"/>
  <c r="N742"/>
  <c r="M742"/>
  <c r="N741"/>
  <c r="M741"/>
  <c r="N740"/>
  <c r="M740"/>
  <c r="N739"/>
  <c r="M739"/>
  <c r="N738"/>
  <c r="M738"/>
  <c r="N737"/>
  <c r="M737"/>
  <c r="N736"/>
  <c r="M736"/>
  <c r="N735"/>
  <c r="M735"/>
  <c r="N734"/>
  <c r="M734"/>
  <c r="N733"/>
  <c r="M733"/>
  <c r="N732"/>
  <c r="M732"/>
  <c r="N731"/>
  <c r="M731"/>
  <c r="N730"/>
  <c r="M730"/>
  <c r="N729"/>
  <c r="M729"/>
  <c r="N728"/>
  <c r="M728"/>
  <c r="N727"/>
  <c r="M727"/>
  <c r="N726"/>
  <c r="M726"/>
  <c r="N725"/>
  <c r="M725"/>
  <c r="N724"/>
  <c r="M724"/>
  <c r="N723"/>
  <c r="M723"/>
  <c r="N722"/>
  <c r="M722"/>
  <c r="N721"/>
  <c r="M721"/>
  <c r="L721"/>
  <c r="N720"/>
  <c r="M720"/>
  <c r="N719"/>
  <c r="M719"/>
  <c r="N718"/>
  <c r="M718"/>
  <c r="N717"/>
  <c r="M717"/>
  <c r="N716"/>
  <c r="M716"/>
  <c r="N715"/>
  <c r="M715"/>
  <c r="N714"/>
  <c r="M714"/>
  <c r="L714"/>
  <c r="N713"/>
  <c r="M713"/>
  <c r="N712"/>
  <c r="M712"/>
  <c r="N711"/>
  <c r="M711"/>
  <c r="N710"/>
  <c r="M710"/>
  <c r="N709"/>
  <c r="M709"/>
  <c r="N708"/>
  <c r="M708"/>
  <c r="N707"/>
  <c r="M707"/>
  <c r="N706"/>
  <c r="M706"/>
  <c r="N705"/>
  <c r="M705"/>
  <c r="N704"/>
  <c r="M704"/>
  <c r="N703"/>
  <c r="M703"/>
  <c r="N702"/>
  <c r="M702"/>
  <c r="N701"/>
  <c r="M701"/>
  <c r="N700"/>
  <c r="M700"/>
  <c r="N699"/>
  <c r="M699"/>
  <c r="N698"/>
  <c r="M698"/>
  <c r="N697"/>
  <c r="M697"/>
  <c r="N696"/>
  <c r="M696"/>
  <c r="N695"/>
  <c r="M695"/>
  <c r="N694"/>
  <c r="M694"/>
  <c r="N693"/>
  <c r="M693"/>
  <c r="N692"/>
  <c r="M692"/>
  <c r="N691"/>
  <c r="M691"/>
  <c r="N690"/>
  <c r="M690"/>
  <c r="N689"/>
  <c r="M689"/>
  <c r="N688"/>
  <c r="M688"/>
  <c r="N687"/>
  <c r="M687"/>
  <c r="N686"/>
  <c r="M686"/>
  <c r="N685"/>
  <c r="M685"/>
  <c r="N684"/>
  <c r="M684"/>
  <c r="N683"/>
  <c r="M683"/>
  <c r="N682"/>
  <c r="M682"/>
  <c r="N681"/>
  <c r="M681"/>
  <c r="N680"/>
  <c r="M680"/>
  <c r="N679"/>
  <c r="M679"/>
  <c r="N678"/>
  <c r="M678"/>
  <c r="N677"/>
  <c r="M677"/>
  <c r="N676"/>
  <c r="M676"/>
  <c r="N675"/>
  <c r="M675"/>
  <c r="N674"/>
  <c r="M674"/>
  <c r="N673"/>
  <c r="M673"/>
  <c r="N672"/>
  <c r="M672"/>
  <c r="N671"/>
  <c r="M671"/>
  <c r="N670"/>
  <c r="M670"/>
  <c r="N669"/>
  <c r="M669"/>
  <c r="N668"/>
  <c r="M668"/>
  <c r="N667"/>
  <c r="M667"/>
  <c r="N666"/>
  <c r="M666"/>
  <c r="N665"/>
  <c r="M665"/>
  <c r="N664"/>
  <c r="M664"/>
  <c r="N663"/>
  <c r="M663"/>
  <c r="N662"/>
  <c r="M662"/>
  <c r="N661"/>
  <c r="M661"/>
  <c r="N660"/>
  <c r="M660"/>
  <c r="N659"/>
  <c r="M659"/>
  <c r="N658"/>
  <c r="M658"/>
  <c r="N657"/>
  <c r="M657"/>
  <c r="N656"/>
  <c r="M656"/>
  <c r="N655"/>
  <c r="M655"/>
  <c r="N654"/>
  <c r="M654"/>
  <c r="N653"/>
  <c r="M653"/>
  <c r="N652"/>
  <c r="M652"/>
  <c r="N651"/>
  <c r="M651"/>
  <c r="N650"/>
  <c r="M650"/>
  <c r="N649"/>
  <c r="M649"/>
  <c r="N648"/>
  <c r="M648"/>
  <c r="N647"/>
  <c r="M647"/>
  <c r="N646"/>
  <c r="M646"/>
  <c r="N645"/>
  <c r="M645"/>
  <c r="N644"/>
  <c r="M644"/>
  <c r="N643"/>
  <c r="M643"/>
  <c r="N642"/>
  <c r="M642"/>
  <c r="N641"/>
  <c r="M641"/>
  <c r="N640"/>
  <c r="M640"/>
  <c r="N639"/>
  <c r="M639"/>
  <c r="N638"/>
  <c r="M638"/>
  <c r="N637"/>
  <c r="M637"/>
  <c r="N636"/>
  <c r="M636"/>
  <c r="N635"/>
  <c r="M635"/>
  <c r="N634"/>
  <c r="M634"/>
  <c r="N633"/>
  <c r="M633"/>
  <c r="N632"/>
  <c r="M632"/>
  <c r="N631"/>
  <c r="M631"/>
  <c r="N630"/>
  <c r="M630"/>
  <c r="N629"/>
  <c r="M629"/>
  <c r="N628"/>
  <c r="M628"/>
  <c r="N627"/>
  <c r="M627"/>
  <c r="N626"/>
  <c r="M626"/>
  <c r="N625"/>
  <c r="M625"/>
  <c r="N624"/>
  <c r="M624"/>
  <c r="N623"/>
  <c r="M623"/>
  <c r="N622"/>
  <c r="M622"/>
  <c r="N621"/>
  <c r="M621"/>
  <c r="N620"/>
  <c r="M620"/>
  <c r="N619"/>
  <c r="M619"/>
  <c r="N618"/>
  <c r="M618"/>
  <c r="N617"/>
  <c r="M617"/>
  <c r="M616"/>
  <c r="L616"/>
  <c r="N616" s="1"/>
  <c r="N615"/>
  <c r="M615"/>
  <c r="N614"/>
  <c r="M614"/>
  <c r="N613"/>
  <c r="M613"/>
  <c r="N612"/>
  <c r="M612"/>
  <c r="N611"/>
  <c r="M611"/>
  <c r="N610"/>
  <c r="M610"/>
  <c r="N609"/>
  <c r="M609"/>
  <c r="N608"/>
  <c r="M608"/>
  <c r="N607"/>
  <c r="M607"/>
  <c r="N606"/>
  <c r="M606"/>
  <c r="N605"/>
  <c r="M605"/>
  <c r="L605"/>
  <c r="N604"/>
  <c r="M604"/>
  <c r="N603"/>
  <c r="M603"/>
  <c r="N602"/>
  <c r="M602"/>
  <c r="N601"/>
  <c r="M601"/>
  <c r="N600"/>
  <c r="M600"/>
  <c r="N599"/>
  <c r="M599"/>
  <c r="N598"/>
  <c r="M598"/>
  <c r="N597"/>
  <c r="M597"/>
  <c r="N596"/>
  <c r="M596"/>
  <c r="N595"/>
  <c r="M595"/>
  <c r="N594"/>
  <c r="M594"/>
  <c r="N593"/>
  <c r="M593"/>
  <c r="N592"/>
  <c r="M592"/>
  <c r="N591"/>
  <c r="M591"/>
  <c r="N590"/>
  <c r="M590"/>
  <c r="N589"/>
  <c r="M589"/>
  <c r="N588"/>
  <c r="M588"/>
  <c r="N587"/>
  <c r="M587"/>
  <c r="N586"/>
  <c r="M586"/>
  <c r="N585"/>
  <c r="M585"/>
  <c r="N584"/>
  <c r="M584"/>
  <c r="N583"/>
  <c r="M583"/>
  <c r="N582"/>
  <c r="M582"/>
  <c r="N581"/>
  <c r="M581"/>
  <c r="N580"/>
  <c r="M580"/>
  <c r="N579"/>
  <c r="M579"/>
  <c r="L579"/>
  <c r="N578"/>
  <c r="M578"/>
  <c r="N577"/>
  <c r="M577"/>
  <c r="N576"/>
  <c r="M576"/>
  <c r="N575"/>
  <c r="M575"/>
  <c r="N574"/>
  <c r="M574"/>
  <c r="N573"/>
  <c r="M573"/>
  <c r="N572"/>
  <c r="M572"/>
  <c r="N571"/>
  <c r="M571"/>
  <c r="N570"/>
  <c r="M570"/>
  <c r="N569"/>
  <c r="M569"/>
  <c r="N568"/>
  <c r="M568"/>
  <c r="N567"/>
  <c r="M567"/>
  <c r="N566"/>
  <c r="M566"/>
  <c r="N565"/>
  <c r="M565"/>
  <c r="N564"/>
  <c r="M564"/>
  <c r="N563"/>
  <c r="M563"/>
  <c r="N562"/>
  <c r="M562"/>
  <c r="N561"/>
  <c r="M561"/>
  <c r="N560"/>
  <c r="M560"/>
  <c r="N559"/>
  <c r="M559"/>
  <c r="N558"/>
  <c r="M558"/>
  <c r="N557"/>
  <c r="M557"/>
  <c r="N556"/>
  <c r="M556"/>
  <c r="N555"/>
  <c r="M555"/>
  <c r="N554"/>
  <c r="M554"/>
  <c r="N553"/>
  <c r="M553"/>
  <c r="L553"/>
  <c r="N552"/>
  <c r="M552"/>
  <c r="N551"/>
  <c r="M551"/>
  <c r="N550"/>
  <c r="M550"/>
  <c r="N549"/>
  <c r="M549"/>
  <c r="N548"/>
  <c r="M548"/>
  <c r="N547"/>
  <c r="M547"/>
  <c r="N546"/>
  <c r="M546"/>
  <c r="N545"/>
  <c r="M545"/>
  <c r="N544"/>
  <c r="M544"/>
  <c r="N543"/>
  <c r="M543"/>
  <c r="N542"/>
  <c r="M542"/>
  <c r="N541"/>
  <c r="M541"/>
  <c r="N540"/>
  <c r="M540"/>
  <c r="N539"/>
  <c r="M539"/>
  <c r="N538"/>
  <c r="M538"/>
  <c r="N537"/>
  <c r="M537"/>
  <c r="N536"/>
  <c r="M536"/>
  <c r="N535"/>
  <c r="M535"/>
  <c r="N534"/>
  <c r="M534"/>
  <c r="N533"/>
  <c r="M533"/>
  <c r="N532"/>
  <c r="M532"/>
  <c r="N531"/>
  <c r="M531"/>
  <c r="N530"/>
  <c r="M530"/>
  <c r="N529"/>
  <c r="M529"/>
  <c r="N528"/>
  <c r="M528"/>
  <c r="N527"/>
  <c r="M527"/>
  <c r="N526"/>
  <c r="M526"/>
  <c r="N525"/>
  <c r="M525"/>
  <c r="N524"/>
  <c r="M524"/>
  <c r="N523"/>
  <c r="M523"/>
  <c r="N522"/>
  <c r="M522"/>
  <c r="N521"/>
  <c r="M521"/>
  <c r="N520"/>
  <c r="M520"/>
  <c r="N519"/>
  <c r="M519"/>
  <c r="N518"/>
  <c r="M518"/>
  <c r="N517"/>
  <c r="M517"/>
  <c r="N516"/>
  <c r="M516"/>
  <c r="N515"/>
  <c r="M515"/>
  <c r="N514"/>
  <c r="M514"/>
  <c r="N513"/>
  <c r="M513"/>
  <c r="N512"/>
  <c r="M512"/>
  <c r="N511"/>
  <c r="M511"/>
  <c r="N510"/>
  <c r="M510"/>
  <c r="N509"/>
  <c r="M509"/>
  <c r="N508"/>
  <c r="M508"/>
  <c r="N507"/>
  <c r="M507"/>
  <c r="N506"/>
  <c r="M506"/>
  <c r="N505"/>
  <c r="M505"/>
  <c r="N504"/>
  <c r="M504"/>
  <c r="N503"/>
  <c r="M503"/>
  <c r="N502"/>
  <c r="M502"/>
  <c r="N501"/>
  <c r="M501"/>
  <c r="N500"/>
  <c r="M500"/>
  <c r="N499"/>
  <c r="M499"/>
  <c r="N498"/>
  <c r="M498"/>
  <c r="N497"/>
  <c r="M497"/>
  <c r="N496"/>
  <c r="M496"/>
  <c r="N495"/>
  <c r="M495"/>
  <c r="M494"/>
  <c r="L494"/>
  <c r="N494" s="1"/>
  <c r="N493"/>
  <c r="M493"/>
  <c r="N492"/>
  <c r="M492"/>
  <c r="N491"/>
  <c r="M491"/>
  <c r="N490"/>
  <c r="M490"/>
  <c r="N489"/>
  <c r="M489"/>
  <c r="N488"/>
  <c r="M488"/>
  <c r="N487"/>
  <c r="M487"/>
  <c r="N486"/>
  <c r="M486"/>
  <c r="N485"/>
  <c r="M485"/>
  <c r="N484"/>
  <c r="M484"/>
  <c r="N483"/>
  <c r="M483"/>
  <c r="N482"/>
  <c r="M482"/>
  <c r="N481"/>
  <c r="M481"/>
  <c r="N480"/>
  <c r="M480"/>
  <c r="N479"/>
  <c r="M479"/>
  <c r="N478"/>
  <c r="M478"/>
  <c r="N477"/>
  <c r="M477"/>
  <c r="N476"/>
  <c r="M476"/>
  <c r="N475"/>
  <c r="M475"/>
  <c r="N474"/>
  <c r="M474"/>
  <c r="N473"/>
  <c r="M473"/>
  <c r="N472"/>
  <c r="M472"/>
  <c r="N471"/>
  <c r="M471"/>
  <c r="N470"/>
  <c r="M470"/>
  <c r="N469"/>
  <c r="M469"/>
  <c r="N468"/>
  <c r="M468"/>
  <c r="N467"/>
  <c r="M467"/>
  <c r="N466"/>
  <c r="M466"/>
  <c r="N465"/>
  <c r="M465"/>
  <c r="N464"/>
  <c r="M464"/>
  <c r="N463"/>
  <c r="M463"/>
  <c r="N462"/>
  <c r="M462"/>
  <c r="M461"/>
  <c r="L461"/>
  <c r="N461" s="1"/>
  <c r="N460"/>
  <c r="M460"/>
  <c r="N459"/>
  <c r="M459"/>
  <c r="N458"/>
  <c r="M458"/>
  <c r="N457"/>
  <c r="M457"/>
  <c r="N456"/>
  <c r="M456"/>
  <c r="N455"/>
  <c r="M455"/>
  <c r="N454"/>
  <c r="M454"/>
  <c r="N453"/>
  <c r="M453"/>
  <c r="N452"/>
  <c r="M452"/>
  <c r="N451"/>
  <c r="M451"/>
  <c r="N450"/>
  <c r="M450"/>
  <c r="N449"/>
  <c r="M449"/>
  <c r="N448"/>
  <c r="M448"/>
  <c r="N447"/>
  <c r="M447"/>
  <c r="N446"/>
  <c r="M446"/>
  <c r="N445"/>
  <c r="M445"/>
  <c r="N444"/>
  <c r="M444"/>
  <c r="N443"/>
  <c r="M443"/>
  <c r="N442"/>
  <c r="M442"/>
  <c r="N441"/>
  <c r="M441"/>
  <c r="N440"/>
  <c r="M440"/>
  <c r="N439"/>
  <c r="M439"/>
  <c r="N438"/>
  <c r="M438"/>
  <c r="N437"/>
  <c r="M437"/>
  <c r="N436"/>
  <c r="M436"/>
  <c r="N435"/>
  <c r="M435"/>
  <c r="N434"/>
  <c r="M434"/>
  <c r="N433"/>
  <c r="M433"/>
  <c r="N432"/>
  <c r="M432"/>
  <c r="N431"/>
  <c r="M431"/>
  <c r="N430"/>
  <c r="M430"/>
  <c r="N429"/>
  <c r="M429"/>
  <c r="N428"/>
  <c r="M428"/>
  <c r="N427"/>
  <c r="M427"/>
  <c r="N426"/>
  <c r="M426"/>
  <c r="N425"/>
  <c r="M425"/>
  <c r="N424"/>
  <c r="M424"/>
  <c r="N423"/>
  <c r="M423"/>
  <c r="N422"/>
  <c r="M422"/>
  <c r="N421"/>
  <c r="M421"/>
  <c r="N420"/>
  <c r="M420"/>
  <c r="N419"/>
  <c r="M419"/>
  <c r="N418"/>
  <c r="M418"/>
  <c r="N417"/>
  <c r="M417"/>
  <c r="N416"/>
  <c r="M416"/>
  <c r="N415"/>
  <c r="M415"/>
  <c r="N414"/>
  <c r="M414"/>
  <c r="N413"/>
  <c r="M413"/>
  <c r="N412"/>
  <c r="M412"/>
  <c r="N411"/>
  <c r="M411"/>
  <c r="N410"/>
  <c r="M410"/>
  <c r="N409"/>
  <c r="M409"/>
  <c r="N408"/>
  <c r="M408"/>
  <c r="L408"/>
  <c r="N407"/>
  <c r="M407"/>
  <c r="L407"/>
  <c r="N406"/>
  <c r="M406"/>
  <c r="L406"/>
  <c r="N405"/>
  <c r="M405"/>
  <c r="N404"/>
  <c r="M404"/>
  <c r="N403"/>
  <c r="M403"/>
  <c r="N402"/>
  <c r="M402"/>
  <c r="N401"/>
  <c r="M401"/>
  <c r="N400"/>
  <c r="M400"/>
  <c r="N399"/>
  <c r="M399"/>
  <c r="N398"/>
  <c r="M398"/>
  <c r="N397"/>
  <c r="M397"/>
  <c r="N396"/>
  <c r="M396"/>
  <c r="N395"/>
  <c r="M395"/>
  <c r="N394"/>
  <c r="M394"/>
  <c r="N393"/>
  <c r="M393"/>
  <c r="N392"/>
  <c r="M392"/>
  <c r="N391"/>
  <c r="M391"/>
  <c r="N390"/>
  <c r="M390"/>
  <c r="N389"/>
  <c r="M389"/>
  <c r="N388"/>
  <c r="M388"/>
  <c r="N387"/>
  <c r="M387"/>
  <c r="M386"/>
  <c r="L386"/>
  <c r="N386" s="1"/>
  <c r="N385"/>
  <c r="M385"/>
  <c r="N384"/>
  <c r="M384"/>
  <c r="N383"/>
  <c r="M383"/>
  <c r="N382"/>
  <c r="M382"/>
  <c r="N381"/>
  <c r="M381"/>
  <c r="N380"/>
  <c r="M380"/>
  <c r="N379"/>
  <c r="M379"/>
  <c r="N378"/>
  <c r="M378"/>
  <c r="N377"/>
  <c r="M377"/>
  <c r="N376"/>
  <c r="M376"/>
  <c r="N375"/>
  <c r="M375"/>
  <c r="N374"/>
  <c r="M374"/>
  <c r="N373"/>
  <c r="M373"/>
  <c r="N372"/>
  <c r="M372"/>
  <c r="N371"/>
  <c r="M371"/>
  <c r="N370"/>
  <c r="M370"/>
  <c r="N369"/>
  <c r="M369"/>
  <c r="N368"/>
  <c r="M368"/>
  <c r="N367"/>
  <c r="M367"/>
  <c r="N366"/>
  <c r="M366"/>
  <c r="N365"/>
  <c r="M365"/>
  <c r="N364"/>
  <c r="M364"/>
  <c r="N363"/>
  <c r="M363"/>
  <c r="N362"/>
  <c r="M362"/>
  <c r="N361"/>
  <c r="M361"/>
  <c r="N360"/>
  <c r="M360"/>
  <c r="N359"/>
  <c r="M359"/>
  <c r="N358"/>
  <c r="M358"/>
  <c r="N357"/>
  <c r="M357"/>
  <c r="N356"/>
  <c r="M356"/>
  <c r="N355"/>
  <c r="M355"/>
  <c r="N354"/>
  <c r="M354"/>
  <c r="N353"/>
  <c r="M353"/>
  <c r="N352"/>
  <c r="M352"/>
  <c r="N351"/>
  <c r="M351"/>
  <c r="N350"/>
  <c r="M350"/>
  <c r="N349"/>
  <c r="M349"/>
  <c r="N348"/>
  <c r="M348"/>
  <c r="N347"/>
  <c r="M347"/>
  <c r="N346"/>
  <c r="M346"/>
  <c r="N345"/>
  <c r="M345"/>
  <c r="N344"/>
  <c r="M344"/>
  <c r="N343"/>
  <c r="M343"/>
  <c r="N342"/>
  <c r="M342"/>
  <c r="N341"/>
  <c r="M341"/>
  <c r="M340"/>
  <c r="L340"/>
  <c r="N340" s="1"/>
  <c r="N339"/>
  <c r="M339"/>
  <c r="N338"/>
  <c r="M338"/>
  <c r="N337"/>
  <c r="M337"/>
  <c r="N336"/>
  <c r="M336"/>
  <c r="N335"/>
  <c r="M335"/>
  <c r="N334"/>
  <c r="M334"/>
  <c r="N333"/>
  <c r="M333"/>
  <c r="N332"/>
  <c r="M332"/>
  <c r="N331"/>
  <c r="M331"/>
  <c r="N330"/>
  <c r="M330"/>
  <c r="N329"/>
  <c r="M329"/>
  <c r="N328"/>
  <c r="M328"/>
  <c r="N327"/>
  <c r="M327"/>
  <c r="N326"/>
  <c r="M326"/>
  <c r="N325"/>
  <c r="M325"/>
  <c r="N324"/>
  <c r="M324"/>
  <c r="L324"/>
  <c r="N323"/>
  <c r="M323"/>
  <c r="N322"/>
  <c r="M322"/>
  <c r="N321"/>
  <c r="M321"/>
  <c r="N320"/>
  <c r="M320"/>
  <c r="N319"/>
  <c r="M319"/>
  <c r="N318"/>
  <c r="M318"/>
  <c r="N317"/>
  <c r="M317"/>
  <c r="N316"/>
  <c r="M316"/>
  <c r="N315"/>
  <c r="M315"/>
  <c r="N314"/>
  <c r="M314"/>
  <c r="N313"/>
  <c r="M313"/>
  <c r="N312"/>
  <c r="M312"/>
  <c r="N311"/>
  <c r="M311"/>
  <c r="N310"/>
  <c r="M310"/>
  <c r="N309"/>
  <c r="M309"/>
  <c r="N308"/>
  <c r="M308"/>
  <c r="N307"/>
  <c r="M307"/>
  <c r="N306"/>
  <c r="M306"/>
  <c r="N305"/>
  <c r="M305"/>
  <c r="N304"/>
  <c r="M304"/>
  <c r="N303"/>
  <c r="M303"/>
  <c r="N302"/>
  <c r="M302"/>
  <c r="N301"/>
  <c r="M301"/>
  <c r="N300"/>
  <c r="M300"/>
  <c r="N299"/>
  <c r="M299"/>
  <c r="N298"/>
  <c r="M298"/>
  <c r="N297"/>
  <c r="M297"/>
  <c r="N296"/>
  <c r="M296"/>
  <c r="N295"/>
  <c r="M295"/>
  <c r="N294"/>
  <c r="M294"/>
  <c r="N293"/>
  <c r="M293"/>
  <c r="N292"/>
  <c r="M292"/>
  <c r="N291"/>
  <c r="M291"/>
  <c r="N290"/>
  <c r="M290"/>
  <c r="N289"/>
  <c r="M289"/>
  <c r="N288"/>
  <c r="M288"/>
  <c r="N287"/>
  <c r="M287"/>
  <c r="N286"/>
  <c r="M286"/>
  <c r="N285"/>
  <c r="M285"/>
  <c r="N284"/>
  <c r="M284"/>
  <c r="N283"/>
  <c r="M283"/>
  <c r="N282"/>
  <c r="M282"/>
  <c r="L282"/>
  <c r="N281"/>
  <c r="M281"/>
  <c r="N280"/>
  <c r="M280"/>
  <c r="N279"/>
  <c r="M279"/>
  <c r="N278"/>
  <c r="M278"/>
  <c r="N277"/>
  <c r="M277"/>
  <c r="N276"/>
  <c r="M276"/>
  <c r="N275"/>
  <c r="M275"/>
  <c r="N274"/>
  <c r="M274"/>
  <c r="N273"/>
  <c r="M273"/>
  <c r="N272"/>
  <c r="M272"/>
  <c r="N271"/>
  <c r="M271"/>
  <c r="N270"/>
  <c r="M270"/>
  <c r="N269"/>
  <c r="M269"/>
  <c r="N268"/>
  <c r="M268"/>
  <c r="N267"/>
  <c r="M267"/>
  <c r="N266"/>
  <c r="M266"/>
  <c r="N265"/>
  <c r="M265"/>
  <c r="N264"/>
  <c r="M264"/>
  <c r="N263"/>
  <c r="M263"/>
  <c r="N262"/>
  <c r="M262"/>
  <c r="N261"/>
  <c r="M261"/>
  <c r="N260"/>
  <c r="M260"/>
  <c r="N259"/>
  <c r="M259"/>
  <c r="N258"/>
  <c r="M258"/>
  <c r="N257"/>
  <c r="M257"/>
  <c r="N256"/>
  <c r="M256"/>
  <c r="N255"/>
  <c r="M255"/>
  <c r="N254"/>
  <c r="M254"/>
  <c r="N253"/>
  <c r="M253"/>
  <c r="N252"/>
  <c r="M252"/>
  <c r="N251"/>
  <c r="M251"/>
  <c r="N250"/>
  <c r="M250"/>
  <c r="N249"/>
  <c r="M249"/>
  <c r="N248"/>
  <c r="M248"/>
  <c r="N247"/>
  <c r="M247"/>
  <c r="N246"/>
  <c r="M246"/>
  <c r="N245"/>
  <c r="M245"/>
  <c r="N244"/>
  <c r="M244"/>
  <c r="N243"/>
  <c r="M243"/>
  <c r="N242"/>
  <c r="M242"/>
  <c r="N241"/>
  <c r="M241"/>
  <c r="N240"/>
  <c r="M240"/>
  <c r="N239"/>
  <c r="M239"/>
  <c r="N238"/>
  <c r="M238"/>
  <c r="N237"/>
  <c r="M237"/>
  <c r="N236"/>
  <c r="M236"/>
  <c r="N235"/>
  <c r="M235"/>
  <c r="N234"/>
  <c r="M234"/>
  <c r="N233"/>
  <c r="M233"/>
  <c r="N232"/>
  <c r="M232"/>
  <c r="N231"/>
  <c r="M231"/>
  <c r="N230"/>
  <c r="M230"/>
  <c r="L230"/>
  <c r="N229"/>
  <c r="M229"/>
  <c r="N228"/>
  <c r="M228"/>
  <c r="N227"/>
  <c r="M227"/>
  <c r="N226"/>
  <c r="M226"/>
  <c r="N225"/>
  <c r="M225"/>
  <c r="N224"/>
  <c r="M224"/>
  <c r="N223"/>
  <c r="M223"/>
  <c r="N222"/>
  <c r="M222"/>
  <c r="N221"/>
  <c r="M221"/>
  <c r="N220"/>
  <c r="M220"/>
  <c r="N219"/>
  <c r="M219"/>
  <c r="N218"/>
  <c r="M218"/>
  <c r="N217"/>
  <c r="M217"/>
  <c r="N216"/>
  <c r="M216"/>
  <c r="N215"/>
  <c r="M215"/>
  <c r="N214"/>
  <c r="M214"/>
  <c r="N213"/>
  <c r="M213"/>
  <c r="N212"/>
  <c r="M212"/>
  <c r="N211"/>
  <c r="M211"/>
  <c r="N210"/>
  <c r="M210"/>
  <c r="N209"/>
  <c r="M209"/>
  <c r="N208"/>
  <c r="M208"/>
  <c r="N207"/>
  <c r="M207"/>
  <c r="L207"/>
  <c r="N206"/>
  <c r="M206"/>
  <c r="N205"/>
  <c r="M205"/>
  <c r="N204"/>
  <c r="M204"/>
  <c r="N203"/>
  <c r="M203"/>
  <c r="N202"/>
  <c r="M202"/>
  <c r="N201"/>
  <c r="M201"/>
  <c r="N200"/>
  <c r="M200"/>
  <c r="N199"/>
  <c r="M199"/>
  <c r="N198"/>
  <c r="M198"/>
  <c r="N197"/>
  <c r="M197"/>
  <c r="N196"/>
  <c r="M196"/>
  <c r="N195"/>
  <c r="M195"/>
  <c r="N194"/>
  <c r="M194"/>
  <c r="N193"/>
  <c r="M193"/>
  <c r="N192"/>
  <c r="M192"/>
  <c r="N191"/>
  <c r="M191"/>
  <c r="N190"/>
  <c r="M190"/>
  <c r="N189"/>
  <c r="M189"/>
  <c r="N188"/>
  <c r="M188"/>
  <c r="N187"/>
  <c r="M187"/>
  <c r="N186"/>
  <c r="M186"/>
  <c r="N185"/>
  <c r="M185"/>
  <c r="N184"/>
  <c r="M184"/>
  <c r="N183"/>
  <c r="M183"/>
  <c r="N182"/>
  <c r="M182"/>
  <c r="N181"/>
  <c r="M181"/>
  <c r="N180"/>
  <c r="M180"/>
  <c r="N179"/>
  <c r="M179"/>
  <c r="N178"/>
  <c r="M178"/>
  <c r="N177"/>
  <c r="M177"/>
  <c r="N176"/>
  <c r="M176"/>
  <c r="N175"/>
  <c r="M175"/>
  <c r="N174"/>
  <c r="M174"/>
  <c r="N173"/>
  <c r="M173"/>
  <c r="M172"/>
  <c r="L172"/>
  <c r="N172" s="1"/>
  <c r="N171"/>
  <c r="M171"/>
  <c r="N170"/>
  <c r="M170"/>
  <c r="N169"/>
  <c r="M169"/>
  <c r="N168"/>
  <c r="M168"/>
  <c r="N167"/>
  <c r="M167"/>
  <c r="N166"/>
  <c r="M166"/>
  <c r="N165"/>
  <c r="M165"/>
  <c r="N164"/>
  <c r="M164"/>
  <c r="N163"/>
  <c r="M163"/>
  <c r="N162"/>
  <c r="M162"/>
  <c r="N161"/>
  <c r="M161"/>
  <c r="N160"/>
  <c r="M160"/>
  <c r="N159"/>
  <c r="M159"/>
  <c r="N158"/>
  <c r="M158"/>
  <c r="N157"/>
  <c r="M157"/>
  <c r="N156"/>
  <c r="M156"/>
  <c r="N155"/>
  <c r="M155"/>
  <c r="N154"/>
  <c r="M154"/>
  <c r="N153"/>
  <c r="M153"/>
  <c r="N152"/>
  <c r="M152"/>
  <c r="N151"/>
  <c r="M151"/>
  <c r="N150"/>
  <c r="M150"/>
  <c r="N149"/>
  <c r="M149"/>
  <c r="N148"/>
  <c r="M148"/>
  <c r="N147"/>
  <c r="M147"/>
  <c r="N146"/>
  <c r="M146"/>
  <c r="N145"/>
  <c r="M145"/>
  <c r="N144"/>
  <c r="M144"/>
  <c r="N143"/>
  <c r="M143"/>
  <c r="N142"/>
  <c r="M142"/>
  <c r="N141"/>
  <c r="M141"/>
  <c r="N140"/>
  <c r="M140"/>
  <c r="N139"/>
  <c r="M139"/>
  <c r="N138"/>
  <c r="M138"/>
  <c r="N137"/>
  <c r="M137"/>
  <c r="N136"/>
  <c r="M136"/>
  <c r="N135"/>
  <c r="M135"/>
  <c r="N134"/>
  <c r="M134"/>
  <c r="N133"/>
  <c r="M133"/>
  <c r="N132"/>
  <c r="M132"/>
  <c r="N131"/>
  <c r="M131"/>
  <c r="N130"/>
  <c r="M130"/>
  <c r="N129"/>
  <c r="M129"/>
  <c r="N128"/>
  <c r="M128"/>
  <c r="N127"/>
  <c r="M127"/>
  <c r="N126"/>
  <c r="M126"/>
  <c r="N125"/>
  <c r="M125"/>
  <c r="N124"/>
  <c r="M124"/>
  <c r="N123"/>
  <c r="M123"/>
  <c r="N122"/>
  <c r="M122"/>
  <c r="N121"/>
  <c r="M121"/>
  <c r="N120"/>
  <c r="M120"/>
  <c r="N119"/>
  <c r="M119"/>
  <c r="N118"/>
  <c r="M118"/>
  <c r="N117"/>
  <c r="M117"/>
  <c r="N116"/>
  <c r="M116"/>
  <c r="N115"/>
  <c r="M115"/>
  <c r="N114"/>
  <c r="M114"/>
  <c r="N113"/>
  <c r="M113"/>
  <c r="N112"/>
  <c r="M112"/>
  <c r="N111"/>
  <c r="M111"/>
  <c r="M110"/>
  <c r="L110"/>
  <c r="N110" s="1"/>
  <c r="N109"/>
  <c r="M109"/>
  <c r="N108"/>
  <c r="M108"/>
  <c r="N107"/>
  <c r="M107"/>
  <c r="N106"/>
  <c r="M106"/>
  <c r="N105"/>
  <c r="M105"/>
  <c r="N104"/>
  <c r="M104"/>
  <c r="N103"/>
  <c r="M103"/>
  <c r="N102"/>
  <c r="M102"/>
  <c r="N101"/>
  <c r="M101"/>
  <c r="N100"/>
  <c r="M100"/>
  <c r="N99"/>
  <c r="M99"/>
  <c r="N98"/>
  <c r="M98"/>
  <c r="N97"/>
  <c r="M97"/>
  <c r="N96"/>
  <c r="M96"/>
  <c r="N95"/>
  <c r="M95"/>
  <c r="N94"/>
  <c r="M94"/>
  <c r="N93"/>
  <c r="M93"/>
  <c r="N92"/>
  <c r="M92"/>
  <c r="N91"/>
  <c r="M91"/>
  <c r="N90"/>
  <c r="M90"/>
  <c r="N89"/>
  <c r="M89"/>
  <c r="N88"/>
  <c r="M88"/>
  <c r="N87"/>
  <c r="M87"/>
  <c r="N86"/>
  <c r="M86"/>
  <c r="N85"/>
  <c r="M85"/>
  <c r="N84"/>
  <c r="M84"/>
  <c r="N83"/>
  <c r="M83"/>
  <c r="N82"/>
  <c r="M82"/>
  <c r="N81"/>
  <c r="M81"/>
  <c r="N80"/>
  <c r="M80"/>
  <c r="N79"/>
  <c r="M79"/>
  <c r="N78"/>
  <c r="M78"/>
  <c r="N77"/>
  <c r="M77"/>
  <c r="N76"/>
  <c r="M76"/>
  <c r="N75"/>
  <c r="M75"/>
  <c r="N74"/>
  <c r="M74"/>
  <c r="N73"/>
  <c r="M73"/>
  <c r="N72"/>
  <c r="M72"/>
  <c r="N71"/>
  <c r="M71"/>
  <c r="N70"/>
  <c r="M70"/>
  <c r="N69"/>
  <c r="M69"/>
  <c r="N68"/>
  <c r="M68"/>
  <c r="N67"/>
  <c r="M67"/>
  <c r="N66"/>
  <c r="M66"/>
  <c r="N65"/>
  <c r="M65"/>
  <c r="N64"/>
  <c r="M64"/>
  <c r="N63"/>
  <c r="M63"/>
  <c r="N62"/>
  <c r="M62"/>
  <c r="N61"/>
  <c r="M61"/>
  <c r="N60"/>
  <c r="M60"/>
  <c r="N59"/>
  <c r="M59"/>
  <c r="N58"/>
  <c r="M58"/>
  <c r="N57"/>
  <c r="M57"/>
  <c r="N56"/>
  <c r="M56"/>
  <c r="N55"/>
  <c r="M55"/>
  <c r="N54"/>
  <c r="M54"/>
  <c r="N53"/>
  <c r="M53"/>
  <c r="N52"/>
  <c r="M52"/>
  <c r="N51"/>
  <c r="M51"/>
  <c r="N50"/>
  <c r="M50"/>
  <c r="N49"/>
  <c r="M49"/>
  <c r="N48"/>
  <c r="M48"/>
  <c r="N47"/>
  <c r="M47"/>
  <c r="N46"/>
  <c r="M46"/>
  <c r="N45"/>
  <c r="M45"/>
  <c r="N44"/>
  <c r="M44"/>
  <c r="L44"/>
  <c r="N43"/>
  <c r="M43"/>
  <c r="N42"/>
  <c r="M42"/>
  <c r="N41"/>
  <c r="M41"/>
  <c r="N40"/>
  <c r="M40"/>
  <c r="N39"/>
  <c r="M39"/>
  <c r="N38"/>
  <c r="M38"/>
  <c r="M37"/>
  <c r="L37"/>
  <c r="N37" s="1"/>
  <c r="N36"/>
  <c r="M36"/>
  <c r="N35"/>
  <c r="M35"/>
  <c r="N34"/>
  <c r="M34"/>
  <c r="N33"/>
  <c r="M33"/>
  <c r="N32"/>
  <c r="M32"/>
  <c r="N31"/>
  <c r="M31"/>
  <c r="M30"/>
  <c r="L30"/>
  <c r="B17" i="2" s="1"/>
  <c r="N29" i="1"/>
  <c r="M29"/>
  <c r="N28"/>
  <c r="M28"/>
  <c r="N27"/>
  <c r="M27"/>
  <c r="N26"/>
  <c r="M26"/>
  <c r="N25"/>
  <c r="M25"/>
  <c r="N24"/>
  <c r="M24"/>
  <c r="N23"/>
  <c r="M23"/>
  <c r="N22"/>
  <c r="M22"/>
  <c r="N21"/>
  <c r="M21"/>
  <c r="N20"/>
  <c r="M20"/>
  <c r="N19"/>
  <c r="M19"/>
  <c r="N18"/>
  <c r="M18"/>
  <c r="N17"/>
  <c r="M17"/>
  <c r="N16"/>
  <c r="M16"/>
  <c r="N15"/>
  <c r="M15"/>
  <c r="N14"/>
  <c r="M14"/>
  <c r="N13"/>
  <c r="M13"/>
  <c r="N12"/>
  <c r="M12"/>
  <c r="N11"/>
  <c r="M11"/>
  <c r="N10"/>
  <c r="M10"/>
  <c r="V9"/>
  <c r="N9"/>
  <c r="M9"/>
  <c r="V8"/>
  <c r="N8"/>
  <c r="M8"/>
  <c r="V7"/>
  <c r="N7"/>
  <c r="M7"/>
  <c r="V6"/>
  <c r="N6"/>
  <c r="M6"/>
  <c r="V5"/>
  <c r="N5"/>
  <c r="M5"/>
  <c r="N4"/>
  <c r="M4"/>
  <c r="N3"/>
  <c r="M3"/>
  <c r="N2"/>
  <c r="M2"/>
  <c r="B29" i="2" l="1"/>
  <c r="B25"/>
  <c r="N30" i="1"/>
  <c r="B19" i="2"/>
</calcChain>
</file>

<file path=xl/sharedStrings.xml><?xml version="1.0" encoding="utf-8"?>
<sst xmlns="http://schemas.openxmlformats.org/spreadsheetml/2006/main" count="7814" uniqueCount="1221">
  <si>
    <t>OrderID</t>
  </si>
  <si>
    <t>OrderDate</t>
  </si>
  <si>
    <t>Category</t>
  </si>
  <si>
    <t>Product</t>
  </si>
  <si>
    <t>State</t>
  </si>
  <si>
    <t>Quantity</t>
  </si>
  <si>
    <t>UnitPrice</t>
  </si>
  <si>
    <t>Discount%</t>
  </si>
  <si>
    <t>OrderStatus</t>
  </si>
  <si>
    <t>PaymentMode</t>
  </si>
  <si>
    <t>Channel</t>
  </si>
  <si>
    <t>OrderAmount</t>
  </si>
  <si>
    <t>OD20001</t>
  </si>
  <si>
    <t>Home</t>
  </si>
  <si>
    <t>Wall Clock</t>
  </si>
  <si>
    <t>West Bengal</t>
  </si>
  <si>
    <t>Delivered</t>
  </si>
  <si>
    <t>COD</t>
  </si>
  <si>
    <t>Website</t>
  </si>
  <si>
    <t>OD20002</t>
  </si>
  <si>
    <t>Fashion</t>
  </si>
  <si>
    <t>T-Shirt</t>
  </si>
  <si>
    <t>Pending</t>
  </si>
  <si>
    <t>Credit Card</t>
  </si>
  <si>
    <t>OD20003</t>
  </si>
  <si>
    <t>Books</t>
  </si>
  <si>
    <t>Notebook</t>
  </si>
  <si>
    <t>Tamil Nadu</t>
  </si>
  <si>
    <t>Returned</t>
  </si>
  <si>
    <t>Debit Card</t>
  </si>
  <si>
    <t>OD20004</t>
  </si>
  <si>
    <t>Novel</t>
  </si>
  <si>
    <t>Delhi</t>
  </si>
  <si>
    <t>Mobile App</t>
  </si>
  <si>
    <t>OD20005</t>
  </si>
  <si>
    <t>Electronics</t>
  </si>
  <si>
    <t>Phone Cover</t>
  </si>
  <si>
    <t>OD20006</t>
  </si>
  <si>
    <t>Beauty</t>
  </si>
  <si>
    <t>Hair Oil</t>
  </si>
  <si>
    <t>UPI</t>
  </si>
  <si>
    <t>OD20007</t>
  </si>
  <si>
    <t>Face Wash</t>
  </si>
  <si>
    <t>OD20008</t>
  </si>
  <si>
    <t>Rajasthan</t>
  </si>
  <si>
    <t>OD20009</t>
  </si>
  <si>
    <t>Comic</t>
  </si>
  <si>
    <t>Karnataka</t>
  </si>
  <si>
    <t>OD20010</t>
  </si>
  <si>
    <t>Wallet</t>
  </si>
  <si>
    <t>OD20011</t>
  </si>
  <si>
    <t>Sunscreen</t>
  </si>
  <si>
    <t>OD20012</t>
  </si>
  <si>
    <t>Maharashtra</t>
  </si>
  <si>
    <t>OD20013</t>
  </si>
  <si>
    <t>Cancelled</t>
  </si>
  <si>
    <t>OD20014</t>
  </si>
  <si>
    <t>Handbag</t>
  </si>
  <si>
    <t>OD20015</t>
  </si>
  <si>
    <t>Jeans</t>
  </si>
  <si>
    <t>OD20016</t>
  </si>
  <si>
    <t>Kurti</t>
  </si>
  <si>
    <t>OD20017</t>
  </si>
  <si>
    <t>Power Bank</t>
  </si>
  <si>
    <t>OD20018</t>
  </si>
  <si>
    <t>Bluetooth Speaker</t>
  </si>
  <si>
    <t>OD20019</t>
  </si>
  <si>
    <t>OD20020</t>
  </si>
  <si>
    <t>Earbuds</t>
  </si>
  <si>
    <t>OD20021</t>
  </si>
  <si>
    <t>Curtain</t>
  </si>
  <si>
    <t>OD20022</t>
  </si>
  <si>
    <t>OD20023</t>
  </si>
  <si>
    <t>OD20024</t>
  </si>
  <si>
    <t>Table Lamp</t>
  </si>
  <si>
    <t>OD20025</t>
  </si>
  <si>
    <t>Bedsheet</t>
  </si>
  <si>
    <t>OD20026</t>
  </si>
  <si>
    <t>Sneakers</t>
  </si>
  <si>
    <t>OD20027</t>
  </si>
  <si>
    <t>Gujarat</t>
  </si>
  <si>
    <t>OD20028</t>
  </si>
  <si>
    <t>OD20029</t>
  </si>
  <si>
    <t>OD20030</t>
  </si>
  <si>
    <t>OD20031</t>
  </si>
  <si>
    <t>OD20032</t>
  </si>
  <si>
    <t>OD20033</t>
  </si>
  <si>
    <t>Guide Book</t>
  </si>
  <si>
    <t>OD20034</t>
  </si>
  <si>
    <t>OD20035</t>
  </si>
  <si>
    <t>OD20036</t>
  </si>
  <si>
    <t>OD20037</t>
  </si>
  <si>
    <t>OD20038</t>
  </si>
  <si>
    <t>OD20039</t>
  </si>
  <si>
    <t>Diary</t>
  </si>
  <si>
    <t>OD20040</t>
  </si>
  <si>
    <t>OD20041</t>
  </si>
  <si>
    <t>Smartwatch</t>
  </si>
  <si>
    <t>OD20042</t>
  </si>
  <si>
    <t>OD20043</t>
  </si>
  <si>
    <t>Perfume</t>
  </si>
  <si>
    <t>OD20044</t>
  </si>
  <si>
    <t>OD20045</t>
  </si>
  <si>
    <t>OD20046</t>
  </si>
  <si>
    <t>OD20047</t>
  </si>
  <si>
    <t>OD20048</t>
  </si>
  <si>
    <t>OD20049</t>
  </si>
  <si>
    <t>OD20050</t>
  </si>
  <si>
    <t>Cushion</t>
  </si>
  <si>
    <t>OD20051</t>
  </si>
  <si>
    <t>OD20052</t>
  </si>
  <si>
    <t>OD20053</t>
  </si>
  <si>
    <t>OD20054</t>
  </si>
  <si>
    <t>OD20055</t>
  </si>
  <si>
    <t>OD20056</t>
  </si>
  <si>
    <t>OD20057</t>
  </si>
  <si>
    <t>OD20058</t>
  </si>
  <si>
    <t>OD20059</t>
  </si>
  <si>
    <t>OD20060</t>
  </si>
  <si>
    <t>OD20061</t>
  </si>
  <si>
    <t>OD20062</t>
  </si>
  <si>
    <t>OD20063</t>
  </si>
  <si>
    <t>OD20064</t>
  </si>
  <si>
    <t>OD20065</t>
  </si>
  <si>
    <t>OD20066</t>
  </si>
  <si>
    <t>OD20067</t>
  </si>
  <si>
    <t>OD20068</t>
  </si>
  <si>
    <t>OD20069</t>
  </si>
  <si>
    <t>OD20070</t>
  </si>
  <si>
    <t>OD20071</t>
  </si>
  <si>
    <t>OD20072</t>
  </si>
  <si>
    <t>OD20073</t>
  </si>
  <si>
    <t>OD20074</t>
  </si>
  <si>
    <t>OD20075</t>
  </si>
  <si>
    <t>OD20076</t>
  </si>
  <si>
    <t>OD20077</t>
  </si>
  <si>
    <t>OD20078</t>
  </si>
  <si>
    <t>OD20079</t>
  </si>
  <si>
    <t>OD20080</t>
  </si>
  <si>
    <t>OD20081</t>
  </si>
  <si>
    <t>OD20082</t>
  </si>
  <si>
    <t>OD20083</t>
  </si>
  <si>
    <t>OD20084</t>
  </si>
  <si>
    <t>OD20085</t>
  </si>
  <si>
    <t>OD20086</t>
  </si>
  <si>
    <t>OD20087</t>
  </si>
  <si>
    <t>OD20088</t>
  </si>
  <si>
    <t>OD20089</t>
  </si>
  <si>
    <t>OD20090</t>
  </si>
  <si>
    <t>OD20091</t>
  </si>
  <si>
    <t>OD20092</t>
  </si>
  <si>
    <t>OD20093</t>
  </si>
  <si>
    <t>OD20094</t>
  </si>
  <si>
    <t>OD20095</t>
  </si>
  <si>
    <t>OD20096</t>
  </si>
  <si>
    <t>OD20097</t>
  </si>
  <si>
    <t>OD20098</t>
  </si>
  <si>
    <t>OD20099</t>
  </si>
  <si>
    <t>OD20100</t>
  </si>
  <si>
    <t>OD20101</t>
  </si>
  <si>
    <t>OD20102</t>
  </si>
  <si>
    <t>OD20103</t>
  </si>
  <si>
    <t>OD20104</t>
  </si>
  <si>
    <t>OD20105</t>
  </si>
  <si>
    <t>Lipstick</t>
  </si>
  <si>
    <t>OD20106</t>
  </si>
  <si>
    <t>OD20107</t>
  </si>
  <si>
    <t>OD20108</t>
  </si>
  <si>
    <t>OD20109</t>
  </si>
  <si>
    <t>OD20110</t>
  </si>
  <si>
    <t>OD20111</t>
  </si>
  <si>
    <t>OD20112</t>
  </si>
  <si>
    <t>OD20113</t>
  </si>
  <si>
    <t>OD20114</t>
  </si>
  <si>
    <t>OD20115</t>
  </si>
  <si>
    <t>OD20116</t>
  </si>
  <si>
    <t>OD20117</t>
  </si>
  <si>
    <t>OD20118</t>
  </si>
  <si>
    <t>OD20119</t>
  </si>
  <si>
    <t>OD20120</t>
  </si>
  <si>
    <t>OD20121</t>
  </si>
  <si>
    <t>OD20122</t>
  </si>
  <si>
    <t>OD20123</t>
  </si>
  <si>
    <t>OD20124</t>
  </si>
  <si>
    <t>OD20125</t>
  </si>
  <si>
    <t>OD20126</t>
  </si>
  <si>
    <t>OD20127</t>
  </si>
  <si>
    <t>OD20128</t>
  </si>
  <si>
    <t>OD20129</t>
  </si>
  <si>
    <t>OD20130</t>
  </si>
  <si>
    <t>OD20131</t>
  </si>
  <si>
    <t>OD20132</t>
  </si>
  <si>
    <t>OD20133</t>
  </si>
  <si>
    <t>OD20134</t>
  </si>
  <si>
    <t>OD20135</t>
  </si>
  <si>
    <t>OD20136</t>
  </si>
  <si>
    <t>OD20137</t>
  </si>
  <si>
    <t>OD20138</t>
  </si>
  <si>
    <t>OD20139</t>
  </si>
  <si>
    <t>OD20140</t>
  </si>
  <si>
    <t>OD20141</t>
  </si>
  <si>
    <t>OD20142</t>
  </si>
  <si>
    <t>OD20143</t>
  </si>
  <si>
    <t>OD20144</t>
  </si>
  <si>
    <t>OD20145</t>
  </si>
  <si>
    <t>OD20146</t>
  </si>
  <si>
    <t>OD20147</t>
  </si>
  <si>
    <t>OD20148</t>
  </si>
  <si>
    <t>OD20149</t>
  </si>
  <si>
    <t>OD20150</t>
  </si>
  <si>
    <t>OD20151</t>
  </si>
  <si>
    <t>OD20152</t>
  </si>
  <si>
    <t>OD20153</t>
  </si>
  <si>
    <t>OD20154</t>
  </si>
  <si>
    <t>OD20155</t>
  </si>
  <si>
    <t>OD20156</t>
  </si>
  <si>
    <t>OD20157</t>
  </si>
  <si>
    <t>OD20158</t>
  </si>
  <si>
    <t>OD20159</t>
  </si>
  <si>
    <t>OD20160</t>
  </si>
  <si>
    <t>OD20161</t>
  </si>
  <si>
    <t>OD20162</t>
  </si>
  <si>
    <t>OD20163</t>
  </si>
  <si>
    <t>OD20164</t>
  </si>
  <si>
    <t>OD20165</t>
  </si>
  <si>
    <t>OD20166</t>
  </si>
  <si>
    <t>OD20167</t>
  </si>
  <si>
    <t>OD20168</t>
  </si>
  <si>
    <t>OD20169</t>
  </si>
  <si>
    <t>OD20170</t>
  </si>
  <si>
    <t>OD20171</t>
  </si>
  <si>
    <t>OD20172</t>
  </si>
  <si>
    <t>OD20173</t>
  </si>
  <si>
    <t>OD20174</t>
  </si>
  <si>
    <t>OD20175</t>
  </si>
  <si>
    <t>OD20176</t>
  </si>
  <si>
    <t>OD20177</t>
  </si>
  <si>
    <t>OD20178</t>
  </si>
  <si>
    <t>OD20179</t>
  </si>
  <si>
    <t>OD20180</t>
  </si>
  <si>
    <t>OD20181</t>
  </si>
  <si>
    <t>OD20182</t>
  </si>
  <si>
    <t>OD20183</t>
  </si>
  <si>
    <t>OD20184</t>
  </si>
  <si>
    <t>OD20185</t>
  </si>
  <si>
    <t>OD20186</t>
  </si>
  <si>
    <t>OD20187</t>
  </si>
  <si>
    <t>OD20188</t>
  </si>
  <si>
    <t>OD20189</t>
  </si>
  <si>
    <t>OD20190</t>
  </si>
  <si>
    <t>OD20191</t>
  </si>
  <si>
    <t>OD20192</t>
  </si>
  <si>
    <t>OD20193</t>
  </si>
  <si>
    <t>OD20194</t>
  </si>
  <si>
    <t>OD20195</t>
  </si>
  <si>
    <t>OD20196</t>
  </si>
  <si>
    <t>OD20197</t>
  </si>
  <si>
    <t>OD20198</t>
  </si>
  <si>
    <t>OD20199</t>
  </si>
  <si>
    <t>OD20200</t>
  </si>
  <si>
    <t>OD20201</t>
  </si>
  <si>
    <t>OD20202</t>
  </si>
  <si>
    <t>OD20203</t>
  </si>
  <si>
    <t>OD20204</t>
  </si>
  <si>
    <t>OD20205</t>
  </si>
  <si>
    <t>OD20206</t>
  </si>
  <si>
    <t>OD20207</t>
  </si>
  <si>
    <t>OD20208</t>
  </si>
  <si>
    <t>OD20209</t>
  </si>
  <si>
    <t>OD20210</t>
  </si>
  <si>
    <t>OD20211</t>
  </si>
  <si>
    <t>OD20212</t>
  </si>
  <si>
    <t>OD20213</t>
  </si>
  <si>
    <t>OD20214</t>
  </si>
  <si>
    <t>OD20215</t>
  </si>
  <si>
    <t>OD20216</t>
  </si>
  <si>
    <t>OD20217</t>
  </si>
  <si>
    <t>OD20218</t>
  </si>
  <si>
    <t>OD20219</t>
  </si>
  <si>
    <t>OD20220</t>
  </si>
  <si>
    <t>OD20221</t>
  </si>
  <si>
    <t>OD20222</t>
  </si>
  <si>
    <t>OD20223</t>
  </si>
  <si>
    <t>OD20224</t>
  </si>
  <si>
    <t>OD20225</t>
  </si>
  <si>
    <t>OD20226</t>
  </si>
  <si>
    <t>OD20227</t>
  </si>
  <si>
    <t>OD20228</t>
  </si>
  <si>
    <t>OD20229</t>
  </si>
  <si>
    <t>OD20230</t>
  </si>
  <si>
    <t>OD20231</t>
  </si>
  <si>
    <t>OD20232</t>
  </si>
  <si>
    <t>OD20233</t>
  </si>
  <si>
    <t>OD20234</t>
  </si>
  <si>
    <t>OD20235</t>
  </si>
  <si>
    <t>OD20236</t>
  </si>
  <si>
    <t>OD20237</t>
  </si>
  <si>
    <t>OD20238</t>
  </si>
  <si>
    <t>OD20239</t>
  </si>
  <si>
    <t>OD20240</t>
  </si>
  <si>
    <t>OD20241</t>
  </si>
  <si>
    <t>OD20242</t>
  </si>
  <si>
    <t>OD20243</t>
  </si>
  <si>
    <t>OD20244</t>
  </si>
  <si>
    <t>OD20245</t>
  </si>
  <si>
    <t>OD20246</t>
  </si>
  <si>
    <t>OD20247</t>
  </si>
  <si>
    <t>OD20248</t>
  </si>
  <si>
    <t>OD20249</t>
  </si>
  <si>
    <t>OD20250</t>
  </si>
  <si>
    <t>OD20251</t>
  </si>
  <si>
    <t>OD20252</t>
  </si>
  <si>
    <t>OD20253</t>
  </si>
  <si>
    <t>OD20254</t>
  </si>
  <si>
    <t>OD20255</t>
  </si>
  <si>
    <t>OD20256</t>
  </si>
  <si>
    <t>OD20257</t>
  </si>
  <si>
    <t>OD20258</t>
  </si>
  <si>
    <t>OD20259</t>
  </si>
  <si>
    <t>OD20260</t>
  </si>
  <si>
    <t>OD20261</t>
  </si>
  <si>
    <t>OD20262</t>
  </si>
  <si>
    <t>OD20263</t>
  </si>
  <si>
    <t>OD20264</t>
  </si>
  <si>
    <t>OD20265</t>
  </si>
  <si>
    <t>OD20266</t>
  </si>
  <si>
    <t>OD20267</t>
  </si>
  <si>
    <t>OD20268</t>
  </si>
  <si>
    <t>OD20269</t>
  </si>
  <si>
    <t>OD20270</t>
  </si>
  <si>
    <t>OD20271</t>
  </si>
  <si>
    <t>OD20272</t>
  </si>
  <si>
    <t>OD20273</t>
  </si>
  <si>
    <t>OD20274</t>
  </si>
  <si>
    <t>OD20275</t>
  </si>
  <si>
    <t>OD20276</t>
  </si>
  <si>
    <t>OD20277</t>
  </si>
  <si>
    <t>OD20278</t>
  </si>
  <si>
    <t>OD20279</t>
  </si>
  <si>
    <t>OD20280</t>
  </si>
  <si>
    <t>OD20281</t>
  </si>
  <si>
    <t>OD20282</t>
  </si>
  <si>
    <t>OD20283</t>
  </si>
  <si>
    <t>OD20284</t>
  </si>
  <si>
    <t>OD20285</t>
  </si>
  <si>
    <t>OD20286</t>
  </si>
  <si>
    <t>OD20287</t>
  </si>
  <si>
    <t>OD20288</t>
  </si>
  <si>
    <t>OD20289</t>
  </si>
  <si>
    <t>OD20290</t>
  </si>
  <si>
    <t>OD20291</t>
  </si>
  <si>
    <t>OD20292</t>
  </si>
  <si>
    <t>OD20293</t>
  </si>
  <si>
    <t>OD20294</t>
  </si>
  <si>
    <t>OD20295</t>
  </si>
  <si>
    <t>OD20296</t>
  </si>
  <si>
    <t>OD20297</t>
  </si>
  <si>
    <t>OD20298</t>
  </si>
  <si>
    <t>OD20299</t>
  </si>
  <si>
    <t>OD20300</t>
  </si>
  <si>
    <t>OD20301</t>
  </si>
  <si>
    <t>OD20302</t>
  </si>
  <si>
    <t>OD20303</t>
  </si>
  <si>
    <t>OD20304</t>
  </si>
  <si>
    <t>OD20305</t>
  </si>
  <si>
    <t>OD20306</t>
  </si>
  <si>
    <t>OD20307</t>
  </si>
  <si>
    <t>OD20308</t>
  </si>
  <si>
    <t>OD20309</t>
  </si>
  <si>
    <t>OD20310</t>
  </si>
  <si>
    <t>OD20311</t>
  </si>
  <si>
    <t>OD20312</t>
  </si>
  <si>
    <t>OD20313</t>
  </si>
  <si>
    <t>OD20314</t>
  </si>
  <si>
    <t>OD20315</t>
  </si>
  <si>
    <t>OD20316</t>
  </si>
  <si>
    <t>OD20317</t>
  </si>
  <si>
    <t>OD20318</t>
  </si>
  <si>
    <t>OD20319</t>
  </si>
  <si>
    <t>OD20320</t>
  </si>
  <si>
    <t>OD20321</t>
  </si>
  <si>
    <t>OD20322</t>
  </si>
  <si>
    <t>OD20323</t>
  </si>
  <si>
    <t>OD20324</t>
  </si>
  <si>
    <t>OD20325</t>
  </si>
  <si>
    <t>OD20326</t>
  </si>
  <si>
    <t>OD20327</t>
  </si>
  <si>
    <t>OD20328</t>
  </si>
  <si>
    <t>OD20329</t>
  </si>
  <si>
    <t>OD20330</t>
  </si>
  <si>
    <t>OD20331</t>
  </si>
  <si>
    <t>OD20332</t>
  </si>
  <si>
    <t>OD20333</t>
  </si>
  <si>
    <t>OD20334</t>
  </si>
  <si>
    <t>OD20335</t>
  </si>
  <si>
    <t>OD20336</t>
  </si>
  <si>
    <t>OD20337</t>
  </si>
  <si>
    <t>OD20338</t>
  </si>
  <si>
    <t>OD20339</t>
  </si>
  <si>
    <t>OD20340</t>
  </si>
  <si>
    <t>OD20341</t>
  </si>
  <si>
    <t>OD20342</t>
  </si>
  <si>
    <t>OD20343</t>
  </si>
  <si>
    <t>OD20344</t>
  </si>
  <si>
    <t>OD20345</t>
  </si>
  <si>
    <t>OD20346</t>
  </si>
  <si>
    <t>OD20347</t>
  </si>
  <si>
    <t>OD20348</t>
  </si>
  <si>
    <t>OD20349</t>
  </si>
  <si>
    <t>OD20350</t>
  </si>
  <si>
    <t>OD20351</t>
  </si>
  <si>
    <t>OD20352</t>
  </si>
  <si>
    <t>OD20353</t>
  </si>
  <si>
    <t>OD20354</t>
  </si>
  <si>
    <t>OD20355</t>
  </si>
  <si>
    <t>OD20356</t>
  </si>
  <si>
    <t>OD20357</t>
  </si>
  <si>
    <t>OD20358</t>
  </si>
  <si>
    <t>OD20359</t>
  </si>
  <si>
    <t>OD20360</t>
  </si>
  <si>
    <t>OD20361</t>
  </si>
  <si>
    <t>OD20362</t>
  </si>
  <si>
    <t>OD20363</t>
  </si>
  <si>
    <t>OD20364</t>
  </si>
  <si>
    <t>OD20365</t>
  </si>
  <si>
    <t>OD20366</t>
  </si>
  <si>
    <t>OD20367</t>
  </si>
  <si>
    <t>OD20368</t>
  </si>
  <si>
    <t>OD20369</t>
  </si>
  <si>
    <t>OD20370</t>
  </si>
  <si>
    <t>OD20371</t>
  </si>
  <si>
    <t>OD20372</t>
  </si>
  <si>
    <t>OD20373</t>
  </si>
  <si>
    <t>OD20374</t>
  </si>
  <si>
    <t>OD20375</t>
  </si>
  <si>
    <t>OD20376</t>
  </si>
  <si>
    <t>OD20377</t>
  </si>
  <si>
    <t>OD20378</t>
  </si>
  <si>
    <t>OD20379</t>
  </si>
  <si>
    <t>OD20380</t>
  </si>
  <si>
    <t>OD20381</t>
  </si>
  <si>
    <t>OD20382</t>
  </si>
  <si>
    <t>OD20383</t>
  </si>
  <si>
    <t>OD20384</t>
  </si>
  <si>
    <t>OD20385</t>
  </si>
  <si>
    <t>OD20386</t>
  </si>
  <si>
    <t>OD20387</t>
  </si>
  <si>
    <t>OD20388</t>
  </si>
  <si>
    <t>OD20389</t>
  </si>
  <si>
    <t>OD20390</t>
  </si>
  <si>
    <t>OD20391</t>
  </si>
  <si>
    <t>OD20392</t>
  </si>
  <si>
    <t>OD20393</t>
  </si>
  <si>
    <t>OD20394</t>
  </si>
  <si>
    <t>OD20395</t>
  </si>
  <si>
    <t>OD20396</t>
  </si>
  <si>
    <t>OD20397</t>
  </si>
  <si>
    <t>OD20398</t>
  </si>
  <si>
    <t>OD20399</t>
  </si>
  <si>
    <t>OD20400</t>
  </si>
  <si>
    <t>OD20401</t>
  </si>
  <si>
    <t>OD20402</t>
  </si>
  <si>
    <t>OD20403</t>
  </si>
  <si>
    <t>OD20404</t>
  </si>
  <si>
    <t>OD20405</t>
  </si>
  <si>
    <t>OD20406</t>
  </si>
  <si>
    <t>OD20407</t>
  </si>
  <si>
    <t>OD20408</t>
  </si>
  <si>
    <t>OD20409</t>
  </si>
  <si>
    <t>OD20410</t>
  </si>
  <si>
    <t>OD20411</t>
  </si>
  <si>
    <t>OD20412</t>
  </si>
  <si>
    <t>OD20413</t>
  </si>
  <si>
    <t>OD20414</t>
  </si>
  <si>
    <t>OD20415</t>
  </si>
  <si>
    <t>OD20416</t>
  </si>
  <si>
    <t>OD20417</t>
  </si>
  <si>
    <t>OD20418</t>
  </si>
  <si>
    <t>OD20419</t>
  </si>
  <si>
    <t>OD20420</t>
  </si>
  <si>
    <t>OD20421</t>
  </si>
  <si>
    <t>OD20422</t>
  </si>
  <si>
    <t>OD20423</t>
  </si>
  <si>
    <t>OD20424</t>
  </si>
  <si>
    <t>OD20425</t>
  </si>
  <si>
    <t>OD20426</t>
  </si>
  <si>
    <t>OD20427</t>
  </si>
  <si>
    <t>OD20428</t>
  </si>
  <si>
    <t>OD20429</t>
  </si>
  <si>
    <t>OD20430</t>
  </si>
  <si>
    <t>OD20431</t>
  </si>
  <si>
    <t>OD20432</t>
  </si>
  <si>
    <t>OD20433</t>
  </si>
  <si>
    <t>OD20434</t>
  </si>
  <si>
    <t>OD20435</t>
  </si>
  <si>
    <t>OD20436</t>
  </si>
  <si>
    <t>OD20437</t>
  </si>
  <si>
    <t>OD20438</t>
  </si>
  <si>
    <t>OD20439</t>
  </si>
  <si>
    <t>OD20440</t>
  </si>
  <si>
    <t>OD20441</t>
  </si>
  <si>
    <t>OD20442</t>
  </si>
  <si>
    <t>OD20443</t>
  </si>
  <si>
    <t>OD20444</t>
  </si>
  <si>
    <t>OD20445</t>
  </si>
  <si>
    <t>OD20446</t>
  </si>
  <si>
    <t>OD20447</t>
  </si>
  <si>
    <t>OD20448</t>
  </si>
  <si>
    <t>OD20449</t>
  </si>
  <si>
    <t>OD20450</t>
  </si>
  <si>
    <t>OD20451</t>
  </si>
  <si>
    <t>OD20452</t>
  </si>
  <si>
    <t>OD20453</t>
  </si>
  <si>
    <t>OD20454</t>
  </si>
  <si>
    <t>OD20455</t>
  </si>
  <si>
    <t>OD20456</t>
  </si>
  <si>
    <t>OD20457</t>
  </si>
  <si>
    <t>OD20458</t>
  </si>
  <si>
    <t>OD20459</t>
  </si>
  <si>
    <t>OD20460</t>
  </si>
  <si>
    <t>OD20461</t>
  </si>
  <si>
    <t>OD20462</t>
  </si>
  <si>
    <t>OD20463</t>
  </si>
  <si>
    <t>OD20464</t>
  </si>
  <si>
    <t>OD20465</t>
  </si>
  <si>
    <t>OD20466</t>
  </si>
  <si>
    <t>OD20467</t>
  </si>
  <si>
    <t>OD20468</t>
  </si>
  <si>
    <t>OD20469</t>
  </si>
  <si>
    <t>OD20470</t>
  </si>
  <si>
    <t>OD20471</t>
  </si>
  <si>
    <t>OD20472</t>
  </si>
  <si>
    <t>OD20473</t>
  </si>
  <si>
    <t>OD20474</t>
  </si>
  <si>
    <t>OD20475</t>
  </si>
  <si>
    <t>OD20476</t>
  </si>
  <si>
    <t>OD20477</t>
  </si>
  <si>
    <t>OD20478</t>
  </si>
  <si>
    <t>OD20479</t>
  </si>
  <si>
    <t>OD20480</t>
  </si>
  <si>
    <t>OD20481</t>
  </si>
  <si>
    <t>OD20482</t>
  </si>
  <si>
    <t>OD20483</t>
  </si>
  <si>
    <t>OD20484</t>
  </si>
  <si>
    <t>OD20485</t>
  </si>
  <si>
    <t>OD20486</t>
  </si>
  <si>
    <t>OD20487</t>
  </si>
  <si>
    <t>OD20488</t>
  </si>
  <si>
    <t>OD20489</t>
  </si>
  <si>
    <t>OD20490</t>
  </si>
  <si>
    <t>OD20491</t>
  </si>
  <si>
    <t>OD20492</t>
  </si>
  <si>
    <t>OD20493</t>
  </si>
  <si>
    <t>OD20494</t>
  </si>
  <si>
    <t>OD20495</t>
  </si>
  <si>
    <t>OD20496</t>
  </si>
  <si>
    <t>OD20497</t>
  </si>
  <si>
    <t>OD20498</t>
  </si>
  <si>
    <t>OD20499</t>
  </si>
  <si>
    <t>OD20500</t>
  </si>
  <si>
    <t>OD20501</t>
  </si>
  <si>
    <t>OD20502</t>
  </si>
  <si>
    <t>OD20503</t>
  </si>
  <si>
    <t>OD20504</t>
  </si>
  <si>
    <t>OD20505</t>
  </si>
  <si>
    <t>OD20506</t>
  </si>
  <si>
    <t>OD20507</t>
  </si>
  <si>
    <t>OD20508</t>
  </si>
  <si>
    <t>OD20509</t>
  </si>
  <si>
    <t>OD20510</t>
  </si>
  <si>
    <t>OD20511</t>
  </si>
  <si>
    <t>OD20512</t>
  </si>
  <si>
    <t>OD20513</t>
  </si>
  <si>
    <t>OD20514</t>
  </si>
  <si>
    <t>OD20515</t>
  </si>
  <si>
    <t>OD20516</t>
  </si>
  <si>
    <t>OD20517</t>
  </si>
  <si>
    <t>OD20518</t>
  </si>
  <si>
    <t>OD20519</t>
  </si>
  <si>
    <t>OD20520</t>
  </si>
  <si>
    <t>OD20521</t>
  </si>
  <si>
    <t>OD20522</t>
  </si>
  <si>
    <t>OD20523</t>
  </si>
  <si>
    <t>OD20524</t>
  </si>
  <si>
    <t>OD20525</t>
  </si>
  <si>
    <t>OD20526</t>
  </si>
  <si>
    <t>OD20527</t>
  </si>
  <si>
    <t>OD20528</t>
  </si>
  <si>
    <t>OD20529</t>
  </si>
  <si>
    <t>OD20530</t>
  </si>
  <si>
    <t>OD20531</t>
  </si>
  <si>
    <t>OD20532</t>
  </si>
  <si>
    <t>OD20533</t>
  </si>
  <si>
    <t>OD20534</t>
  </si>
  <si>
    <t>OD20535</t>
  </si>
  <si>
    <t>OD20536</t>
  </si>
  <si>
    <t>OD20537</t>
  </si>
  <si>
    <t>OD20538</t>
  </si>
  <si>
    <t>OD20539</t>
  </si>
  <si>
    <t>OD20540</t>
  </si>
  <si>
    <t>OD20541</t>
  </si>
  <si>
    <t>OD20542</t>
  </si>
  <si>
    <t>OD20543</t>
  </si>
  <si>
    <t>OD20544</t>
  </si>
  <si>
    <t>OD20545</t>
  </si>
  <si>
    <t>OD20546</t>
  </si>
  <si>
    <t>OD20547</t>
  </si>
  <si>
    <t>OD20548</t>
  </si>
  <si>
    <t>OD20549</t>
  </si>
  <si>
    <t>OD20550</t>
  </si>
  <si>
    <t>OD20551</t>
  </si>
  <si>
    <t>OD20552</t>
  </si>
  <si>
    <t>OD20553</t>
  </si>
  <si>
    <t>OD20554</t>
  </si>
  <si>
    <t>OD20555</t>
  </si>
  <si>
    <t>OD20556</t>
  </si>
  <si>
    <t>OD20557</t>
  </si>
  <si>
    <t>OD20558</t>
  </si>
  <si>
    <t>OD20559</t>
  </si>
  <si>
    <t>OD20560</t>
  </si>
  <si>
    <t>OD20561</t>
  </si>
  <si>
    <t>OD20562</t>
  </si>
  <si>
    <t>OD20563</t>
  </si>
  <si>
    <t>OD20564</t>
  </si>
  <si>
    <t>OD20565</t>
  </si>
  <si>
    <t>OD20566</t>
  </si>
  <si>
    <t>OD20567</t>
  </si>
  <si>
    <t>OD20568</t>
  </si>
  <si>
    <t>OD20569</t>
  </si>
  <si>
    <t>OD20570</t>
  </si>
  <si>
    <t>OD20571</t>
  </si>
  <si>
    <t>OD20572</t>
  </si>
  <si>
    <t>OD20573</t>
  </si>
  <si>
    <t>OD20574</t>
  </si>
  <si>
    <t>OD20575</t>
  </si>
  <si>
    <t>OD20576</t>
  </si>
  <si>
    <t>OD20577</t>
  </si>
  <si>
    <t>OD20578</t>
  </si>
  <si>
    <t>OD20579</t>
  </si>
  <si>
    <t>OD20580</t>
  </si>
  <si>
    <t>OD20581</t>
  </si>
  <si>
    <t>OD20582</t>
  </si>
  <si>
    <t>OD20583</t>
  </si>
  <si>
    <t>OD20584</t>
  </si>
  <si>
    <t>OD20585</t>
  </si>
  <si>
    <t>OD20586</t>
  </si>
  <si>
    <t>OD20587</t>
  </si>
  <si>
    <t>OD20588</t>
  </si>
  <si>
    <t>OD20589</t>
  </si>
  <si>
    <t>OD20590</t>
  </si>
  <si>
    <t>OD20591</t>
  </si>
  <si>
    <t>OD20592</t>
  </si>
  <si>
    <t>OD20593</t>
  </si>
  <si>
    <t>OD20594</t>
  </si>
  <si>
    <t>OD20595</t>
  </si>
  <si>
    <t>OD20596</t>
  </si>
  <si>
    <t>OD20597</t>
  </si>
  <si>
    <t>OD20598</t>
  </si>
  <si>
    <t>OD20599</t>
  </si>
  <si>
    <t>OD20600</t>
  </si>
  <si>
    <t>OD20601</t>
  </si>
  <si>
    <t>OD20602</t>
  </si>
  <si>
    <t>OD20603</t>
  </si>
  <si>
    <t>OD20604</t>
  </si>
  <si>
    <t>OD20605</t>
  </si>
  <si>
    <t>OD20606</t>
  </si>
  <si>
    <t>OD20607</t>
  </si>
  <si>
    <t>OD20608</t>
  </si>
  <si>
    <t>OD20609</t>
  </si>
  <si>
    <t>OD20610</t>
  </si>
  <si>
    <t>OD20611</t>
  </si>
  <si>
    <t>OD20612</t>
  </si>
  <si>
    <t>OD20613</t>
  </si>
  <si>
    <t>OD20614</t>
  </si>
  <si>
    <t>OD20615</t>
  </si>
  <si>
    <t>OD20616</t>
  </si>
  <si>
    <t>OD20617</t>
  </si>
  <si>
    <t>OD20618</t>
  </si>
  <si>
    <t>OD20619</t>
  </si>
  <si>
    <t>OD20620</t>
  </si>
  <si>
    <t>OD20621</t>
  </si>
  <si>
    <t>OD20622</t>
  </si>
  <si>
    <t>OD20623</t>
  </si>
  <si>
    <t>OD20624</t>
  </si>
  <si>
    <t>OD20625</t>
  </si>
  <si>
    <t>OD20626</t>
  </si>
  <si>
    <t>OD20627</t>
  </si>
  <si>
    <t>OD20628</t>
  </si>
  <si>
    <t>OD20629</t>
  </si>
  <si>
    <t>OD20630</t>
  </si>
  <si>
    <t>OD20631</t>
  </si>
  <si>
    <t>OD20632</t>
  </si>
  <si>
    <t>OD20633</t>
  </si>
  <si>
    <t>OD20634</t>
  </si>
  <si>
    <t>OD20635</t>
  </si>
  <si>
    <t>OD20636</t>
  </si>
  <si>
    <t>OD20637</t>
  </si>
  <si>
    <t>OD20638</t>
  </si>
  <si>
    <t>OD20639</t>
  </si>
  <si>
    <t>OD20640</t>
  </si>
  <si>
    <t>OD20641</t>
  </si>
  <si>
    <t>OD20642</t>
  </si>
  <si>
    <t>OD20643</t>
  </si>
  <si>
    <t>OD20644</t>
  </si>
  <si>
    <t>OD20645</t>
  </si>
  <si>
    <t>OD20646</t>
  </si>
  <si>
    <t>OD20647</t>
  </si>
  <si>
    <t>OD20648</t>
  </si>
  <si>
    <t>OD20649</t>
  </si>
  <si>
    <t>OD20650</t>
  </si>
  <si>
    <t>OD20651</t>
  </si>
  <si>
    <t>OD20652</t>
  </si>
  <si>
    <t>OD20653</t>
  </si>
  <si>
    <t>OD20654</t>
  </si>
  <si>
    <t>OD20655</t>
  </si>
  <si>
    <t>OD20656</t>
  </si>
  <si>
    <t>OD20657</t>
  </si>
  <si>
    <t>OD20658</t>
  </si>
  <si>
    <t>OD20659</t>
  </si>
  <si>
    <t>OD20660</t>
  </si>
  <si>
    <t>OD20661</t>
  </si>
  <si>
    <t>OD20662</t>
  </si>
  <si>
    <t>OD20663</t>
  </si>
  <si>
    <t>OD20664</t>
  </si>
  <si>
    <t>OD20665</t>
  </si>
  <si>
    <t>OD20666</t>
  </si>
  <si>
    <t>OD20667</t>
  </si>
  <si>
    <t>OD20668</t>
  </si>
  <si>
    <t>OD20669</t>
  </si>
  <si>
    <t>OD20670</t>
  </si>
  <si>
    <t>OD20671</t>
  </si>
  <si>
    <t>OD20672</t>
  </si>
  <si>
    <t>OD20673</t>
  </si>
  <si>
    <t>OD20674</t>
  </si>
  <si>
    <t>OD20675</t>
  </si>
  <si>
    <t>OD20676</t>
  </si>
  <si>
    <t>OD20677</t>
  </si>
  <si>
    <t>OD20678</t>
  </si>
  <si>
    <t>OD20679</t>
  </si>
  <si>
    <t>OD20680</t>
  </si>
  <si>
    <t>OD20681</t>
  </si>
  <si>
    <t>OD20682</t>
  </si>
  <si>
    <t>OD20683</t>
  </si>
  <si>
    <t>OD20684</t>
  </si>
  <si>
    <t>OD20685</t>
  </si>
  <si>
    <t>OD20686</t>
  </si>
  <si>
    <t>OD20687</t>
  </si>
  <si>
    <t>OD20688</t>
  </si>
  <si>
    <t>OD20689</t>
  </si>
  <si>
    <t>OD20690</t>
  </si>
  <si>
    <t>OD20691</t>
  </si>
  <si>
    <t>OD20692</t>
  </si>
  <si>
    <t>OD20693</t>
  </si>
  <si>
    <t>OD20694</t>
  </si>
  <si>
    <t>OD20695</t>
  </si>
  <si>
    <t>OD20696</t>
  </si>
  <si>
    <t>OD20697</t>
  </si>
  <si>
    <t>OD20698</t>
  </si>
  <si>
    <t>OD20699</t>
  </si>
  <si>
    <t>OD20700</t>
  </si>
  <si>
    <t>OD20701</t>
  </si>
  <si>
    <t>OD20702</t>
  </si>
  <si>
    <t>OD20703</t>
  </si>
  <si>
    <t>OD20704</t>
  </si>
  <si>
    <t>OD20705</t>
  </si>
  <si>
    <t>OD20706</t>
  </si>
  <si>
    <t>OD20707</t>
  </si>
  <si>
    <t>OD20708</t>
  </si>
  <si>
    <t>OD20709</t>
  </si>
  <si>
    <t>OD20710</t>
  </si>
  <si>
    <t>OD20711</t>
  </si>
  <si>
    <t>OD20712</t>
  </si>
  <si>
    <t>OD20713</t>
  </si>
  <si>
    <t>OD20714</t>
  </si>
  <si>
    <t>OD20715</t>
  </si>
  <si>
    <t>OD20716</t>
  </si>
  <si>
    <t>OD20717</t>
  </si>
  <si>
    <t>OD20718</t>
  </si>
  <si>
    <t>OD20719</t>
  </si>
  <si>
    <t>OD20720</t>
  </si>
  <si>
    <t>OD20721</t>
  </si>
  <si>
    <t>OD20722</t>
  </si>
  <si>
    <t>OD20723</t>
  </si>
  <si>
    <t>OD20724</t>
  </si>
  <si>
    <t>OD20725</t>
  </si>
  <si>
    <t>OD20726</t>
  </si>
  <si>
    <t>OD20727</t>
  </si>
  <si>
    <t>OD20728</t>
  </si>
  <si>
    <t>OD20729</t>
  </si>
  <si>
    <t>OD20730</t>
  </si>
  <si>
    <t>OD20731</t>
  </si>
  <si>
    <t>OD20732</t>
  </si>
  <si>
    <t>OD20733</t>
  </si>
  <si>
    <t>OD20734</t>
  </si>
  <si>
    <t>OD20735</t>
  </si>
  <si>
    <t>OD20736</t>
  </si>
  <si>
    <t>OD20737</t>
  </si>
  <si>
    <t>OD20738</t>
  </si>
  <si>
    <t>OD20739</t>
  </si>
  <si>
    <t>OD20740</t>
  </si>
  <si>
    <t>OD20741</t>
  </si>
  <si>
    <t>OD20742</t>
  </si>
  <si>
    <t>OD20743</t>
  </si>
  <si>
    <t>OD20744</t>
  </si>
  <si>
    <t>OD20745</t>
  </si>
  <si>
    <t>OD20746</t>
  </si>
  <si>
    <t>OD20747</t>
  </si>
  <si>
    <t>OD20748</t>
  </si>
  <si>
    <t>OD20749</t>
  </si>
  <si>
    <t>OD20750</t>
  </si>
  <si>
    <t>OD20751</t>
  </si>
  <si>
    <t>OD20752</t>
  </si>
  <si>
    <t>OD20753</t>
  </si>
  <si>
    <t>OD20754</t>
  </si>
  <si>
    <t>OD20755</t>
  </si>
  <si>
    <t>OD20756</t>
  </si>
  <si>
    <t>OD20757</t>
  </si>
  <si>
    <t>OD20758</t>
  </si>
  <si>
    <t>OD20759</t>
  </si>
  <si>
    <t>OD20760</t>
  </si>
  <si>
    <t>OD20761</t>
  </si>
  <si>
    <t>OD20762</t>
  </si>
  <si>
    <t>OD20763</t>
  </si>
  <si>
    <t>OD20764</t>
  </si>
  <si>
    <t>OD20765</t>
  </si>
  <si>
    <t>OD20766</t>
  </si>
  <si>
    <t>OD20767</t>
  </si>
  <si>
    <t>OD20768</t>
  </si>
  <si>
    <t>OD20769</t>
  </si>
  <si>
    <t>OD20770</t>
  </si>
  <si>
    <t>OD20771</t>
  </si>
  <si>
    <t>OD20772</t>
  </si>
  <si>
    <t>OD20773</t>
  </si>
  <si>
    <t>OD20774</t>
  </si>
  <si>
    <t>OD20775</t>
  </si>
  <si>
    <t>OD20776</t>
  </si>
  <si>
    <t>OD20777</t>
  </si>
  <si>
    <t>OD20778</t>
  </si>
  <si>
    <t>OD20779</t>
  </si>
  <si>
    <t>OD20780</t>
  </si>
  <si>
    <t>OD20781</t>
  </si>
  <si>
    <t>OD20782</t>
  </si>
  <si>
    <t>OD20783</t>
  </si>
  <si>
    <t>OD20784</t>
  </si>
  <si>
    <t>OD20785</t>
  </si>
  <si>
    <t>OD20786</t>
  </si>
  <si>
    <t>OD20787</t>
  </si>
  <si>
    <t>OD20788</t>
  </si>
  <si>
    <t>OD20789</t>
  </si>
  <si>
    <t>OD20790</t>
  </si>
  <si>
    <t>OD20791</t>
  </si>
  <si>
    <t>OD20792</t>
  </si>
  <si>
    <t>OD20793</t>
  </si>
  <si>
    <t>OD20794</t>
  </si>
  <si>
    <t>OD20795</t>
  </si>
  <si>
    <t>OD20796</t>
  </si>
  <si>
    <t>OD20797</t>
  </si>
  <si>
    <t>OD20798</t>
  </si>
  <si>
    <t>OD20799</t>
  </si>
  <si>
    <t>OD20800</t>
  </si>
  <si>
    <t>OD20801</t>
  </si>
  <si>
    <t>OD20802</t>
  </si>
  <si>
    <t>OD20803</t>
  </si>
  <si>
    <t>OD20804</t>
  </si>
  <si>
    <t>OD20805</t>
  </si>
  <si>
    <t>OD20806</t>
  </si>
  <si>
    <t>OD20807</t>
  </si>
  <si>
    <t>OD20808</t>
  </si>
  <si>
    <t>OD20809</t>
  </si>
  <si>
    <t>OD20810</t>
  </si>
  <si>
    <t>OD20811</t>
  </si>
  <si>
    <t>OD20812</t>
  </si>
  <si>
    <t>OD20813</t>
  </si>
  <si>
    <t>OD20814</t>
  </si>
  <si>
    <t>OD20815</t>
  </si>
  <si>
    <t>OD20816</t>
  </si>
  <si>
    <t>OD20817</t>
  </si>
  <si>
    <t>OD20818</t>
  </si>
  <si>
    <t>OD20819</t>
  </si>
  <si>
    <t>OD20820</t>
  </si>
  <si>
    <t>OD20821</t>
  </si>
  <si>
    <t>OD20822</t>
  </si>
  <si>
    <t>OD20823</t>
  </si>
  <si>
    <t>OD20824</t>
  </si>
  <si>
    <t>OD20825</t>
  </si>
  <si>
    <t>OD20826</t>
  </si>
  <si>
    <t>OD20827</t>
  </si>
  <si>
    <t>OD20828</t>
  </si>
  <si>
    <t>OD20829</t>
  </si>
  <si>
    <t>OD20830</t>
  </si>
  <si>
    <t>OD20831</t>
  </si>
  <si>
    <t>OD20832</t>
  </si>
  <si>
    <t>OD20833</t>
  </si>
  <si>
    <t>OD20834</t>
  </si>
  <si>
    <t>OD20835</t>
  </si>
  <si>
    <t>OD20836</t>
  </si>
  <si>
    <t>OD20837</t>
  </si>
  <si>
    <t>OD20838</t>
  </si>
  <si>
    <t>OD20839</t>
  </si>
  <si>
    <t>OD20840</t>
  </si>
  <si>
    <t>OD20841</t>
  </si>
  <si>
    <t>OD20842</t>
  </si>
  <si>
    <t>OD20843</t>
  </si>
  <si>
    <t>OD20844</t>
  </si>
  <si>
    <t>OD20845</t>
  </si>
  <si>
    <t>OD20846</t>
  </si>
  <si>
    <t>OD20847</t>
  </si>
  <si>
    <t>OD20848</t>
  </si>
  <si>
    <t>OD20849</t>
  </si>
  <si>
    <t>OD20850</t>
  </si>
  <si>
    <t>OD20851</t>
  </si>
  <si>
    <t>OD20852</t>
  </si>
  <si>
    <t>OD20853</t>
  </si>
  <si>
    <t>OD20854</t>
  </si>
  <si>
    <t>OD20855</t>
  </si>
  <si>
    <t>OD20856</t>
  </si>
  <si>
    <t>OD20857</t>
  </si>
  <si>
    <t>OD20858</t>
  </si>
  <si>
    <t>OD20859</t>
  </si>
  <si>
    <t>OD20860</t>
  </si>
  <si>
    <t>OD20861</t>
  </si>
  <si>
    <t>OD20862</t>
  </si>
  <si>
    <t>OD20863</t>
  </si>
  <si>
    <t>OD20864</t>
  </si>
  <si>
    <t>OD20865</t>
  </si>
  <si>
    <t>OD20866</t>
  </si>
  <si>
    <t>OD20867</t>
  </si>
  <si>
    <t>OD20868</t>
  </si>
  <si>
    <t>OD20869</t>
  </si>
  <si>
    <t>OD20870</t>
  </si>
  <si>
    <t>OD20871</t>
  </si>
  <si>
    <t>OD20872</t>
  </si>
  <si>
    <t>OD20873</t>
  </si>
  <si>
    <t>OD20874</t>
  </si>
  <si>
    <t>OD20875</t>
  </si>
  <si>
    <t>OD20876</t>
  </si>
  <si>
    <t>OD20877</t>
  </si>
  <si>
    <t>OD20878</t>
  </si>
  <si>
    <t>OD20879</t>
  </si>
  <si>
    <t>OD20880</t>
  </si>
  <si>
    <t>OD20881</t>
  </si>
  <si>
    <t>OD20882</t>
  </si>
  <si>
    <t>OD20883</t>
  </si>
  <si>
    <t>OD20884</t>
  </si>
  <si>
    <t>OD20885</t>
  </si>
  <si>
    <t>OD20886</t>
  </si>
  <si>
    <t>OD20887</t>
  </si>
  <si>
    <t>OD20888</t>
  </si>
  <si>
    <t>OD20889</t>
  </si>
  <si>
    <t>OD20890</t>
  </si>
  <si>
    <t>OD20891</t>
  </si>
  <si>
    <t>OD20892</t>
  </si>
  <si>
    <t>OD20893</t>
  </si>
  <si>
    <t>OD20894</t>
  </si>
  <si>
    <t>OD20895</t>
  </si>
  <si>
    <t>OD20896</t>
  </si>
  <si>
    <t>OD20897</t>
  </si>
  <si>
    <t>OD20898</t>
  </si>
  <si>
    <t>OD20899</t>
  </si>
  <si>
    <t>OD20900</t>
  </si>
  <si>
    <t>OD20901</t>
  </si>
  <si>
    <t>OD20902</t>
  </si>
  <si>
    <t>OD20903</t>
  </si>
  <si>
    <t>OD20904</t>
  </si>
  <si>
    <t>OD20905</t>
  </si>
  <si>
    <t>OD20906</t>
  </si>
  <si>
    <t>OD20907</t>
  </si>
  <si>
    <t>OD20908</t>
  </si>
  <si>
    <t>OD20909</t>
  </si>
  <si>
    <t>OD20910</t>
  </si>
  <si>
    <t>OD20911</t>
  </si>
  <si>
    <t>OD20912</t>
  </si>
  <si>
    <t>OD20913</t>
  </si>
  <si>
    <t>OD20914</t>
  </si>
  <si>
    <t>OD20915</t>
  </si>
  <si>
    <t>OD20916</t>
  </si>
  <si>
    <t>OD20917</t>
  </si>
  <si>
    <t>OD20918</t>
  </si>
  <si>
    <t>OD20919</t>
  </si>
  <si>
    <t>OD20920</t>
  </si>
  <si>
    <t>OD20921</t>
  </si>
  <si>
    <t>OD20922</t>
  </si>
  <si>
    <t>OD20923</t>
  </si>
  <si>
    <t>OD20924</t>
  </si>
  <si>
    <t>OD20925</t>
  </si>
  <si>
    <t>OD20926</t>
  </si>
  <si>
    <t>OD20927</t>
  </si>
  <si>
    <t>OD20928</t>
  </si>
  <si>
    <t>OD20929</t>
  </si>
  <si>
    <t>OD20930</t>
  </si>
  <si>
    <t>OD20931</t>
  </si>
  <si>
    <t>OD20932</t>
  </si>
  <si>
    <t>OD20933</t>
  </si>
  <si>
    <t>OD20934</t>
  </si>
  <si>
    <t>OD20935</t>
  </si>
  <si>
    <t>OD20936</t>
  </si>
  <si>
    <t>OD20937</t>
  </si>
  <si>
    <t>OD20938</t>
  </si>
  <si>
    <t>OD20939</t>
  </si>
  <si>
    <t>OD20940</t>
  </si>
  <si>
    <t>OD20941</t>
  </si>
  <si>
    <t>OD20942</t>
  </si>
  <si>
    <t>OD20943</t>
  </si>
  <si>
    <t>OD20944</t>
  </si>
  <si>
    <t>OD20945</t>
  </si>
  <si>
    <t>OD20946</t>
  </si>
  <si>
    <t>OD20947</t>
  </si>
  <si>
    <t>OD20948</t>
  </si>
  <si>
    <t>OD20949</t>
  </si>
  <si>
    <t>OD20950</t>
  </si>
  <si>
    <t>OD20951</t>
  </si>
  <si>
    <t>OD20952</t>
  </si>
  <si>
    <t>OD20953</t>
  </si>
  <si>
    <t>OD20954</t>
  </si>
  <si>
    <t>OD20955</t>
  </si>
  <si>
    <t>OD20956</t>
  </si>
  <si>
    <t>OD20957</t>
  </si>
  <si>
    <t>OD20958</t>
  </si>
  <si>
    <t>OD20959</t>
  </si>
  <si>
    <t>OD20960</t>
  </si>
  <si>
    <t>OD20961</t>
  </si>
  <si>
    <t>OD20962</t>
  </si>
  <si>
    <t>OD20963</t>
  </si>
  <si>
    <t>OD20964</t>
  </si>
  <si>
    <t>OD20965</t>
  </si>
  <si>
    <t>OD20966</t>
  </si>
  <si>
    <t>OD20967</t>
  </si>
  <si>
    <t>OD20968</t>
  </si>
  <si>
    <t>OD20969</t>
  </si>
  <si>
    <t>OD20970</t>
  </si>
  <si>
    <t>OD20971</t>
  </si>
  <si>
    <t>OD20972</t>
  </si>
  <si>
    <t>OD20973</t>
  </si>
  <si>
    <t>OD20974</t>
  </si>
  <si>
    <t>OD20975</t>
  </si>
  <si>
    <t>OD20976</t>
  </si>
  <si>
    <t>OD20977</t>
  </si>
  <si>
    <t>OD20978</t>
  </si>
  <si>
    <t>OD20979</t>
  </si>
  <si>
    <t>OD20980</t>
  </si>
  <si>
    <t>OD20981</t>
  </si>
  <si>
    <t>OD20982</t>
  </si>
  <si>
    <t>OD20983</t>
  </si>
  <si>
    <t>OD20984</t>
  </si>
  <si>
    <t>OD20985</t>
  </si>
  <si>
    <t>OD20986</t>
  </si>
  <si>
    <t>OD20987</t>
  </si>
  <si>
    <t>OD20988</t>
  </si>
  <si>
    <t>OD20989</t>
  </si>
  <si>
    <t>OD20990</t>
  </si>
  <si>
    <t>OD20991</t>
  </si>
  <si>
    <t>OD20992</t>
  </si>
  <si>
    <t>OD20993</t>
  </si>
  <si>
    <t>OD20994</t>
  </si>
  <si>
    <t>OD20995</t>
  </si>
  <si>
    <t>OD20996</t>
  </si>
  <si>
    <t>OD20997</t>
  </si>
  <si>
    <t>OD20998</t>
  </si>
  <si>
    <t>OD20999</t>
  </si>
  <si>
    <t>OD21000</t>
  </si>
  <si>
    <t>OD21001</t>
  </si>
  <si>
    <t>OD21002</t>
  </si>
  <si>
    <t>OD21003</t>
  </si>
  <si>
    <t>OD21004</t>
  </si>
  <si>
    <t>OD21005</t>
  </si>
  <si>
    <t>OD21006</t>
  </si>
  <si>
    <t>OD21007</t>
  </si>
  <si>
    <t>OD21008</t>
  </si>
  <si>
    <t>OD21009</t>
  </si>
  <si>
    <t>OD21010</t>
  </si>
  <si>
    <t>OD21011</t>
  </si>
  <si>
    <t>OD21012</t>
  </si>
  <si>
    <t>OD21013</t>
  </si>
  <si>
    <t>OD21014</t>
  </si>
  <si>
    <t>OD21015</t>
  </si>
  <si>
    <t>OD21016</t>
  </si>
  <si>
    <t>OD21017</t>
  </si>
  <si>
    <t>OD21018</t>
  </si>
  <si>
    <t>OD21019</t>
  </si>
  <si>
    <t>OD21020</t>
  </si>
  <si>
    <t>OD21021</t>
  </si>
  <si>
    <t>OD21022</t>
  </si>
  <si>
    <t>OD21023</t>
  </si>
  <si>
    <t>OD21024</t>
  </si>
  <si>
    <t>OD21025</t>
  </si>
  <si>
    <t>OD21026</t>
  </si>
  <si>
    <t>OD21027</t>
  </si>
  <si>
    <t>OD21028</t>
  </si>
  <si>
    <t>OD21029</t>
  </si>
  <si>
    <t>OD21030</t>
  </si>
  <si>
    <t>OD21031</t>
  </si>
  <si>
    <t>OD21032</t>
  </si>
  <si>
    <t>OD21033</t>
  </si>
  <si>
    <t>OD21034</t>
  </si>
  <si>
    <t>OD21035</t>
  </si>
  <si>
    <t>OD21036</t>
  </si>
  <si>
    <t>OD21037</t>
  </si>
  <si>
    <t>OD21038</t>
  </si>
  <si>
    <t>OD21039</t>
  </si>
  <si>
    <t>OD21040</t>
  </si>
  <si>
    <t>OD21041</t>
  </si>
  <si>
    <t>OD21042</t>
  </si>
  <si>
    <t>OD21043</t>
  </si>
  <si>
    <t>OD21044</t>
  </si>
  <si>
    <t>OD21045</t>
  </si>
  <si>
    <t>OD21046</t>
  </si>
  <si>
    <t>OD21047</t>
  </si>
  <si>
    <t>OD21048</t>
  </si>
  <si>
    <t>OD21049</t>
  </si>
  <si>
    <t>OD21050</t>
  </si>
  <si>
    <t>OD21051</t>
  </si>
  <si>
    <t>OD21052</t>
  </si>
  <si>
    <t>OD21053</t>
  </si>
  <si>
    <t>OD21054</t>
  </si>
  <si>
    <t>OD21055</t>
  </si>
  <si>
    <t>OD21056</t>
  </si>
  <si>
    <t>OD21057</t>
  </si>
  <si>
    <t>OD21058</t>
  </si>
  <si>
    <t>OD21059</t>
  </si>
  <si>
    <t>OD21060</t>
  </si>
  <si>
    <t>OD21061</t>
  </si>
  <si>
    <t>OD21062</t>
  </si>
  <si>
    <t>OD21063</t>
  </si>
  <si>
    <t>OD21064</t>
  </si>
  <si>
    <t>OD21065</t>
  </si>
  <si>
    <t>OD21066</t>
  </si>
  <si>
    <t>OD21067</t>
  </si>
  <si>
    <t>OD21068</t>
  </si>
  <si>
    <t>OD21069</t>
  </si>
  <si>
    <t>OD21070</t>
  </si>
  <si>
    <t>OD21071</t>
  </si>
  <si>
    <t>OD21072</t>
  </si>
  <si>
    <t>OD21073</t>
  </si>
  <si>
    <t>OD21074</t>
  </si>
  <si>
    <t>OD21075</t>
  </si>
  <si>
    <t>OD21076</t>
  </si>
  <si>
    <t>OD21077</t>
  </si>
  <si>
    <t>OD21078</t>
  </si>
  <si>
    <t>OD21079</t>
  </si>
  <si>
    <t>OD21080</t>
  </si>
  <si>
    <t>OD21081</t>
  </si>
  <si>
    <t>OD21082</t>
  </si>
  <si>
    <t>OD21083</t>
  </si>
  <si>
    <t>OD21084</t>
  </si>
  <si>
    <t>OD21085</t>
  </si>
  <si>
    <t>OD21086</t>
  </si>
  <si>
    <t>OD21087</t>
  </si>
  <si>
    <t>OD21088</t>
  </si>
  <si>
    <t>OD21089</t>
  </si>
  <si>
    <t>OD21090</t>
  </si>
  <si>
    <t>OD21091</t>
  </si>
  <si>
    <t>OD21092</t>
  </si>
  <si>
    <t>OD21093</t>
  </si>
  <si>
    <t>OD21094</t>
  </si>
  <si>
    <t>OD21095</t>
  </si>
  <si>
    <t>OD21096</t>
  </si>
  <si>
    <t>OD21097</t>
  </si>
  <si>
    <t>OD21098</t>
  </si>
  <si>
    <t>OD21099</t>
  </si>
  <si>
    <t>OD21100</t>
  </si>
  <si>
    <t>Up</t>
  </si>
  <si>
    <t>12344</t>
  </si>
  <si>
    <t xml:space="preserve">text </t>
  </si>
  <si>
    <t xml:space="preserve">no </t>
  </si>
  <si>
    <t xml:space="preserve">must multiply text no with 1 </t>
  </si>
  <si>
    <t>then drag theal ctrl +alt + v</t>
  </si>
  <si>
    <t xml:space="preserve">discount change </t>
  </si>
  <si>
    <t>month</t>
  </si>
  <si>
    <t>sales bucket</t>
  </si>
  <si>
    <t>Extracted Text from the Image</t>
  </si>
  <si>
    <t>Business Question</t>
  </si>
  <si>
    <t>Formula</t>
  </si>
  <si>
    <t>Total Orders kitne?</t>
  </si>
  <si>
    <t>Total Revenue?</t>
  </si>
  <si>
    <t>Average Order Value?</t>
  </si>
  <si>
    <t>Delivered orders?</t>
  </si>
  <si>
    <t>Cancelled orders?</t>
  </si>
  <si>
    <t>UPI se kitna revenue?</t>
  </si>
  <si>
    <t>App vs Website orders?</t>
  </si>
  <si>
    <t>Electronics ka revenue?</t>
  </si>
  <si>
    <t>Business Questions in Simple Form</t>
  </si>
  <si>
    <t>1. Total Orders?</t>
  </si>
  <si>
    <t>2. Total Revenue?</t>
  </si>
  <si>
    <t>3. Average Order Value?</t>
  </si>
  <si>
    <t>4. Delivered Orders?</t>
  </si>
  <si>
    <t>5. Cancelled Orders?</t>
  </si>
  <si>
    <t>6. Revenue from UPI Payments?</t>
  </si>
  <si>
    <t>7. Mobile App vs Website Orders?</t>
  </si>
  <si>
    <t>8. Revenue from Electronics Category?</t>
  </si>
  <si>
    <t xml:space="preserve"> =SUM(OrderAmount)</t>
  </si>
  <si>
    <t xml:space="preserve"> =AVERAGE(OrderAmount)</t>
  </si>
  <si>
    <t xml:space="preserve"> =COUNTIF(Status,"Delivered")</t>
  </si>
  <si>
    <t xml:space="preserve"> =COUNTIF(Status,"Cancelled")</t>
  </si>
  <si>
    <t xml:space="preserve"> =SUMIF(Pay,"UPI",Amount)</t>
  </si>
  <si>
    <t xml:space="preserve"> =COUNTIF(Channel,"Mobile App")</t>
  </si>
  <si>
    <t xml:space="preserve"> =SUMIF(Cat,"Electronics",Amount)</t>
  </si>
  <si>
    <t xml:space="preserve"> =COUNTA(OrderID)</t>
  </si>
  <si>
    <t>Category Revenue</t>
  </si>
  <si>
    <t>State Revenue</t>
  </si>
  <si>
    <t>Month Trend</t>
  </si>
  <si>
    <t>Status Count</t>
  </si>
  <si>
    <t>Channel Split</t>
  </si>
  <si>
    <t>Payment Mode</t>
  </si>
  <si>
    <t>Row Labels</t>
  </si>
  <si>
    <t>Grand Total</t>
  </si>
  <si>
    <t>Sum of OrderAmount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</si>
  <si>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</si>
  <si>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</si>
  <si>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</si>
  <si>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</si>
  <si>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</si>
  <si>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</si>
  <si>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</si>
  <si>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</si>
  <si>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</si>
  <si>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</si>
  <si>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</si>
  <si>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</si>
  <si>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OrderID</t>
  </si>
  <si>
    <t>Average of OrderAmount</t>
  </si>
  <si>
    <t>Count of OrderAmount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</si>
</sst>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  <font>
      <b/>
      <sz val="13.5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quotePrefix="1"/>
    <xf numFmtId="9" fontId="0" fillId="0" borderId="0" xfId="1" applyFont="1"/>
    <xf numFmtId="10" fontId="0" fillId="0" borderId="0" xfId="1" applyNumberFormat="1" applyFont="1"/>
    <xf numFmtId="0" fontId="16" fillId="0" borderId="0" xfId="0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/>
    <xf numFmtId="0" fontId="0" fillId="0" borderId="0" xfId="0" applyAlignment="1">
      <alignment horizontal="left" indent="1"/>
    </xf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0" fontId="20" fillId="0" borderId="0" xfId="0" applyFont="1" applyAlignment="1">
      <alignment horizontal="center" vertical="center" wrapText="1"/>
    </xf>
    <xf numFmtId="0" fontId="0" fillId="34" borderId="0" xfId="0" applyFill="1"/>
    <xf numFmtId="0" fontId="0" fillId="0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4">
    <dxf>
      <numFmt numFmtId="0" formatCode="General"/>
    </dxf>
    <dxf>
      <numFmt numFmtId="0" formatCode="General"/>
    </dxf>
    <dxf>
      <numFmt numFmtId="14" formatCode="0.00%"/>
    </dxf>
    <dxf>
      <numFmt numFmtId="19" formatCode="dd/mm/yyyy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[Ecommerce_Raw_project_excel.xlsx]pivot!PivotTable1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Category wise Order Amount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pivot!$B$2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pivot!$A$3:$A$8</c:f>
              <c:strCache>
                <c:ptCount val="5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Home</c:v>
                </c:pt>
              </c:strCache>
            </c:strRef>
          </c:cat>
          <c:val>
            <c:numRef>
              <c:f>pivot!$B$3:$B$8</c:f>
              <c:numCache>
                <c:formatCode>General</c:formatCode>
                <c:ptCount val="5"/>
                <c:pt idx="0">
                  <c:v>2580125.7319999989</c:v>
                </c:pt>
                <c:pt idx="1">
                  <c:v>2899898.1179999998</c:v>
                </c:pt>
                <c:pt idx="2">
                  <c:v>2547506.6469999989</c:v>
                </c:pt>
                <c:pt idx="3">
                  <c:v>3200616.4784999979</c:v>
                </c:pt>
                <c:pt idx="4">
                  <c:v>2209574.642</c:v>
                </c:pt>
              </c:numCache>
            </c:numRef>
          </c:val>
        </c:ser>
        <c:axId val="147932672"/>
        <c:axId val="147934208"/>
      </c:barChart>
      <c:catAx>
        <c:axId val="147932672"/>
        <c:scaling>
          <c:orientation val="minMax"/>
        </c:scaling>
        <c:axPos val="b"/>
        <c:tickLblPos val="nextTo"/>
        <c:crossAx val="147934208"/>
        <c:crosses val="autoZero"/>
        <c:auto val="1"/>
        <c:lblAlgn val="ctr"/>
        <c:lblOffset val="100"/>
      </c:catAx>
      <c:valAx>
        <c:axId val="147934208"/>
        <c:scaling>
          <c:orientation val="minMax"/>
        </c:scaling>
        <c:axPos val="l"/>
        <c:majorGridlines/>
        <c:numFmt formatCode="General" sourceLinked="1"/>
        <c:tickLblPos val="nextTo"/>
        <c:crossAx val="1479326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[Ecommerce_Raw_project_excel.xlsx]pivot!PivotTable2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State wise Order Amount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pivot!$F$2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pivot!$E$3:$E$11</c:f>
              <c:strCache>
                <c:ptCount val="8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Maharashtra</c:v>
                </c:pt>
                <c:pt idx="4">
                  <c:v>Rajasthan</c:v>
                </c:pt>
                <c:pt idx="5">
                  <c:v>Tamil Nadu</c:v>
                </c:pt>
                <c:pt idx="6">
                  <c:v>Up</c:v>
                </c:pt>
                <c:pt idx="7">
                  <c:v>West Bengal</c:v>
                </c:pt>
              </c:strCache>
            </c:strRef>
          </c:cat>
          <c:val>
            <c:numRef>
              <c:f>pivot!$F$3:$F$11</c:f>
              <c:numCache>
                <c:formatCode>General</c:formatCode>
                <c:ptCount val="8"/>
                <c:pt idx="0">
                  <c:v>1647601.5100000007</c:v>
                </c:pt>
                <c:pt idx="1">
                  <c:v>1400504.82</c:v>
                </c:pt>
                <c:pt idx="2">
                  <c:v>1484774.7845000005</c:v>
                </c:pt>
                <c:pt idx="3">
                  <c:v>2049161.1840000006</c:v>
                </c:pt>
                <c:pt idx="4">
                  <c:v>1654906.416</c:v>
                </c:pt>
                <c:pt idx="5">
                  <c:v>1706124.845</c:v>
                </c:pt>
                <c:pt idx="6">
                  <c:v>1697372.6759999995</c:v>
                </c:pt>
                <c:pt idx="7">
                  <c:v>1797275.3819999998</c:v>
                </c:pt>
              </c:numCache>
            </c:numRef>
          </c:val>
        </c:ser>
        <c:axId val="147942400"/>
        <c:axId val="147956480"/>
      </c:barChart>
      <c:catAx>
        <c:axId val="147942400"/>
        <c:scaling>
          <c:orientation val="minMax"/>
        </c:scaling>
        <c:axPos val="l"/>
        <c:tickLblPos val="nextTo"/>
        <c:crossAx val="147956480"/>
        <c:crosses val="autoZero"/>
        <c:auto val="1"/>
        <c:lblAlgn val="ctr"/>
        <c:lblOffset val="100"/>
      </c:catAx>
      <c:valAx>
        <c:axId val="147956480"/>
        <c:scaling>
          <c:orientation val="minMax"/>
        </c:scaling>
        <c:axPos val="b"/>
        <c:majorGridlines/>
        <c:numFmt formatCode="General" sourceLinked="1"/>
        <c:tickLblPos val="nextTo"/>
        <c:crossAx val="14794240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[Ecommerce_Raw_project_excel.xlsx]pivot!PivotTable3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Month wise Order Amount</a:t>
            </a:r>
            <a:endParaRPr lang="en-US"/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</c:pivotFmt>
    </c:pivotFmts>
    <c:plotArea>
      <c:layout/>
      <c:lineChart>
        <c:grouping val="standard"/>
        <c:ser>
          <c:idx val="0"/>
          <c:order val="0"/>
          <c:tx>
            <c:strRef>
              <c:f>pivot!$I$2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pivot!$H$3:$H$15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pivot!$I$3:$I$15</c:f>
              <c:numCache>
                <c:formatCode>General</c:formatCode>
                <c:ptCount val="12"/>
                <c:pt idx="0">
                  <c:v>890424.49349999998</c:v>
                </c:pt>
                <c:pt idx="1">
                  <c:v>1188321.675</c:v>
                </c:pt>
                <c:pt idx="2">
                  <c:v>1310963.6880000003</c:v>
                </c:pt>
                <c:pt idx="3">
                  <c:v>1017549.3379999998</c:v>
                </c:pt>
                <c:pt idx="4">
                  <c:v>964522.13799999992</c:v>
                </c:pt>
                <c:pt idx="5">
                  <c:v>1256588.7500000009</c:v>
                </c:pt>
                <c:pt idx="6">
                  <c:v>1470854.8179999997</c:v>
                </c:pt>
                <c:pt idx="7">
                  <c:v>1002404.062</c:v>
                </c:pt>
                <c:pt idx="8">
                  <c:v>1141100.5299999996</c:v>
                </c:pt>
                <c:pt idx="9">
                  <c:v>1274850.3679999998</c:v>
                </c:pt>
                <c:pt idx="10">
                  <c:v>932916.36199999996</c:v>
                </c:pt>
                <c:pt idx="11">
                  <c:v>987225.39499999979</c:v>
                </c:pt>
              </c:numCache>
            </c:numRef>
          </c:val>
        </c:ser>
        <c:marker val="1"/>
        <c:axId val="149967232"/>
        <c:axId val="149968768"/>
      </c:lineChart>
      <c:catAx>
        <c:axId val="149967232"/>
        <c:scaling>
          <c:orientation val="minMax"/>
        </c:scaling>
        <c:axPos val="b"/>
        <c:tickLblPos val="nextTo"/>
        <c:crossAx val="149968768"/>
        <c:crosses val="autoZero"/>
        <c:auto val="1"/>
        <c:lblAlgn val="ctr"/>
        <c:lblOffset val="100"/>
      </c:catAx>
      <c:valAx>
        <c:axId val="149968768"/>
        <c:scaling>
          <c:orientation val="minMax"/>
        </c:scaling>
        <c:axPos val="l"/>
        <c:majorGridlines/>
        <c:numFmt formatCode="General" sourceLinked="1"/>
        <c:tickLblPos val="nextTo"/>
        <c:crossAx val="14996723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[Ecommerce_Raw_project_excel.xlsx]pivot!PivotTable4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Order Status wise Order Count</a:t>
            </a:r>
            <a:endParaRPr lang="en-US"/>
          </a:p>
        </c:rich>
      </c:tx>
      <c:layout>
        <c:manualLayout>
          <c:xMode val="edge"/>
          <c:yMode val="edge"/>
          <c:x val="0.13134677206046919"/>
          <c:y val="3.1575047921972341E-2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pivot!$L$2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pivot!$K$3:$K$7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</c:strCache>
            </c:strRef>
          </c:cat>
          <c:val>
            <c:numRef>
              <c:f>pivot!$L$3:$L$7</c:f>
              <c:numCache>
                <c:formatCode>General</c:formatCode>
                <c:ptCount val="4"/>
                <c:pt idx="0">
                  <c:v>177</c:v>
                </c:pt>
                <c:pt idx="1">
                  <c:v>554</c:v>
                </c:pt>
                <c:pt idx="2">
                  <c:v>189</c:v>
                </c:pt>
                <c:pt idx="3">
                  <c:v>180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[Ecommerce_Raw_project_excel.xlsx]pivot!PivotTable5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Channel</a:t>
            </a:r>
            <a:r>
              <a:rPr lang="en-US" baseline="0"/>
              <a:t> </a:t>
            </a:r>
            <a:r>
              <a:rPr lang="en-US"/>
              <a:t>Wise Order</a:t>
            </a:r>
            <a:r>
              <a:rPr lang="en-US" baseline="0"/>
              <a:t> </a:t>
            </a:r>
            <a:r>
              <a:rPr lang="en-US"/>
              <a:t>Count</a:t>
            </a:r>
          </a:p>
        </c:rich>
      </c:tx>
      <c:layout>
        <c:manualLayout>
          <c:xMode val="edge"/>
          <c:yMode val="edge"/>
          <c:x val="0.15136720743277196"/>
          <c:y val="2.5865749023211558E-2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7954517838048023"/>
          <c:y val="0.21714316671717615"/>
          <c:w val="0.5774093185686141"/>
          <c:h val="0.72595218543175843"/>
        </c:manualLayout>
      </c:layout>
      <c:doughnutChart>
        <c:varyColors val="1"/>
        <c:ser>
          <c:idx val="0"/>
          <c:order val="0"/>
          <c:tx>
            <c:strRef>
              <c:f>pivot!$F$19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pivot!$E$20:$E$22</c:f>
              <c:strCache>
                <c:ptCount val="2"/>
                <c:pt idx="0">
                  <c:v>Mobile App</c:v>
                </c:pt>
                <c:pt idx="1">
                  <c:v>Website</c:v>
                </c:pt>
              </c:strCache>
            </c:strRef>
          </c:cat>
          <c:val>
            <c:numRef>
              <c:f>pivot!$F$20:$F$22</c:f>
              <c:numCache>
                <c:formatCode>General</c:formatCode>
                <c:ptCount val="2"/>
                <c:pt idx="0">
                  <c:v>10090942.261999996</c:v>
                </c:pt>
                <c:pt idx="1">
                  <c:v>3346779.3555000005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7994875328083989"/>
          <c:y val="0.48798410615339766"/>
          <c:w val="0.17829024496937892"/>
          <c:h val="0.16743438320209991"/>
        </c:manualLayout>
      </c:layout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566122</xdr:colOff>
      <xdr:row>5</xdr:row>
      <xdr:rowOff>168089</xdr:rowOff>
    </xdr:from>
    <xdr:to>
      <xdr:col>7</xdr:col>
      <xdr:colOff>307042</xdr:colOff>
      <xdr:row>20</xdr:row>
      <xdr:rowOff>53790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556708</xdr:colOff>
      <xdr:row>6</xdr:row>
      <xdr:rowOff>8964</xdr:rowOff>
    </xdr:from>
    <xdr:to>
      <xdr:col>14</xdr:col>
      <xdr:colOff>242046</xdr:colOff>
      <xdr:row>20</xdr:row>
      <xdr:rowOff>80683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548192</xdr:colOff>
      <xdr:row>21</xdr:row>
      <xdr:rowOff>17931</xdr:rowOff>
    </xdr:from>
    <xdr:to>
      <xdr:col>7</xdr:col>
      <xdr:colOff>273872</xdr:colOff>
      <xdr:row>34</xdr:row>
      <xdr:rowOff>63650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436581</xdr:colOff>
      <xdr:row>21</xdr:row>
      <xdr:rowOff>23309</xdr:rowOff>
    </xdr:from>
    <xdr:to>
      <xdr:col>14</xdr:col>
      <xdr:colOff>101301</xdr:colOff>
      <xdr:row>34</xdr:row>
      <xdr:rowOff>59167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274320</xdr:colOff>
      <xdr:row>21</xdr:row>
      <xdr:rowOff>34964</xdr:rowOff>
    </xdr:from>
    <xdr:to>
      <xdr:col>19</xdr:col>
      <xdr:colOff>701040</xdr:colOff>
      <xdr:row>34</xdr:row>
      <xdr:rowOff>91440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98612</xdr:colOff>
      <xdr:row>12</xdr:row>
      <xdr:rowOff>80683</xdr:rowOff>
    </xdr:from>
    <xdr:to>
      <xdr:col>17</xdr:col>
      <xdr:colOff>179296</xdr:colOff>
      <xdr:row>16</xdr:row>
      <xdr:rowOff>134470</xdr:rowOff>
    </xdr:to>
    <xdr:sp macro="" textlink="">
      <xdr:nvSpPr>
        <xdr:cNvPr id="14" name="Rounded Rectangle 13"/>
        <xdr:cNvSpPr/>
      </xdr:nvSpPr>
      <xdr:spPr>
        <a:xfrm>
          <a:off x="9242612" y="2232212"/>
          <a:ext cx="1299884" cy="77096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472889</xdr:colOff>
      <xdr:row>7</xdr:row>
      <xdr:rowOff>130437</xdr:rowOff>
    </xdr:from>
    <xdr:to>
      <xdr:col>19</xdr:col>
      <xdr:colOff>553573</xdr:colOff>
      <xdr:row>12</xdr:row>
      <xdr:rowOff>1345</xdr:rowOff>
    </xdr:to>
    <xdr:sp macro="" textlink="">
      <xdr:nvSpPr>
        <xdr:cNvPr id="15" name="Rounded Rectangle 14"/>
        <xdr:cNvSpPr/>
      </xdr:nvSpPr>
      <xdr:spPr>
        <a:xfrm>
          <a:off x="10836089" y="1410597"/>
          <a:ext cx="1299884" cy="78530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493059</xdr:colOff>
      <xdr:row>12</xdr:row>
      <xdr:rowOff>80684</xdr:rowOff>
    </xdr:from>
    <xdr:to>
      <xdr:col>19</xdr:col>
      <xdr:colOff>573743</xdr:colOff>
      <xdr:row>16</xdr:row>
      <xdr:rowOff>134471</xdr:rowOff>
    </xdr:to>
    <xdr:sp macro="" textlink="">
      <xdr:nvSpPr>
        <xdr:cNvPr id="16" name="Rounded Rectangle 15"/>
        <xdr:cNvSpPr/>
      </xdr:nvSpPr>
      <xdr:spPr>
        <a:xfrm>
          <a:off x="10856259" y="2232213"/>
          <a:ext cx="1299884" cy="77096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106232</xdr:colOff>
      <xdr:row>7</xdr:row>
      <xdr:rowOff>95025</xdr:rowOff>
    </xdr:from>
    <xdr:to>
      <xdr:col>17</xdr:col>
      <xdr:colOff>186916</xdr:colOff>
      <xdr:row>11</xdr:row>
      <xdr:rowOff>148813</xdr:rowOff>
    </xdr:to>
    <xdr:sp macro="" textlink="">
      <xdr:nvSpPr>
        <xdr:cNvPr id="17" name="Rounded Rectangle 16"/>
        <xdr:cNvSpPr/>
      </xdr:nvSpPr>
      <xdr:spPr>
        <a:xfrm>
          <a:off x="9250232" y="1375185"/>
          <a:ext cx="1299884" cy="78530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147468</xdr:colOff>
      <xdr:row>8</xdr:row>
      <xdr:rowOff>3584</xdr:rowOff>
    </xdr:from>
    <xdr:to>
      <xdr:col>17</xdr:col>
      <xdr:colOff>220980</xdr:colOff>
      <xdr:row>9</xdr:row>
      <xdr:rowOff>69924</xdr:rowOff>
    </xdr:to>
    <xdr:sp macro="" textlink="">
      <xdr:nvSpPr>
        <xdr:cNvPr id="11" name="TextBox 10"/>
        <xdr:cNvSpPr txBox="1"/>
      </xdr:nvSpPr>
      <xdr:spPr>
        <a:xfrm>
          <a:off x="9291468" y="1466624"/>
          <a:ext cx="1292712" cy="2492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200" b="1" cap="none" spc="50">
              <a:ln w="12700" cmpd="sng">
                <a:solidFill>
                  <a:schemeClr val="bg1"/>
                </a:solidFill>
                <a:prstDash val="solid"/>
              </a:ln>
              <a:solidFill>
                <a:schemeClr val="bg1"/>
              </a:solidFill>
              <a:effectLst>
                <a:glow rad="53100">
                  <a:schemeClr val="accent6">
                    <a:satMod val="180000"/>
                    <a:alpha val="30000"/>
                  </a:schemeClr>
                </a:glow>
              </a:effectLst>
            </a:rPr>
            <a:t>No Of</a:t>
          </a:r>
          <a:r>
            <a:rPr lang="en-US" sz="1200" b="1" cap="none" spc="50" baseline="0">
              <a:ln w="12700" cmpd="sng">
                <a:solidFill>
                  <a:schemeClr val="bg1"/>
                </a:solidFill>
                <a:prstDash val="solid"/>
              </a:ln>
              <a:solidFill>
                <a:schemeClr val="bg1"/>
              </a:solidFill>
              <a:effectLst>
                <a:glow rad="53100">
                  <a:schemeClr val="accent6">
                    <a:satMod val="180000"/>
                    <a:alpha val="30000"/>
                  </a:schemeClr>
                </a:glow>
              </a:effectLst>
            </a:rPr>
            <a:t> </a:t>
          </a:r>
          <a:r>
            <a:rPr lang="en-US" sz="1200" b="1" cap="none" spc="50">
              <a:ln w="12700" cmpd="sng">
                <a:solidFill>
                  <a:schemeClr val="bg1"/>
                </a:solidFill>
                <a:prstDash val="solid"/>
              </a:ln>
              <a:solidFill>
                <a:schemeClr val="bg1"/>
              </a:solidFill>
              <a:effectLst>
                <a:glow rad="53100">
                  <a:schemeClr val="accent6">
                    <a:satMod val="180000"/>
                    <a:alpha val="30000"/>
                  </a:schemeClr>
                </a:glow>
              </a:effectLst>
            </a:rPr>
            <a:t>Order </a:t>
          </a:r>
        </a:p>
      </xdr:txBody>
    </xdr:sp>
    <xdr:clientData/>
  </xdr:twoCellAnchor>
  <xdr:twoCellAnchor>
    <xdr:from>
      <xdr:col>15</xdr:col>
      <xdr:colOff>71716</xdr:colOff>
      <xdr:row>12</xdr:row>
      <xdr:rowOff>152399</xdr:rowOff>
    </xdr:from>
    <xdr:to>
      <xdr:col>17</xdr:col>
      <xdr:colOff>167640</xdr:colOff>
      <xdr:row>14</xdr:row>
      <xdr:rowOff>35858</xdr:rowOff>
    </xdr:to>
    <xdr:sp macro="" textlink="">
      <xdr:nvSpPr>
        <xdr:cNvPr id="12" name="TextBox 11"/>
        <xdr:cNvSpPr txBox="1"/>
      </xdr:nvSpPr>
      <xdr:spPr>
        <a:xfrm>
          <a:off x="9215716" y="2346959"/>
          <a:ext cx="1315124" cy="24921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200" b="1" cap="none" spc="50">
              <a:ln w="12700" cmpd="sng">
                <a:solidFill>
                  <a:schemeClr val="bg1"/>
                </a:solidFill>
                <a:prstDash val="solid"/>
              </a:ln>
              <a:solidFill>
                <a:schemeClr val="bg1"/>
              </a:solidFill>
              <a:effectLst>
                <a:glow rad="53100">
                  <a:schemeClr val="accent6">
                    <a:satMod val="180000"/>
                    <a:alpha val="30000"/>
                  </a:schemeClr>
                </a:glow>
              </a:effectLst>
            </a:rPr>
            <a:t>Avg</a:t>
          </a:r>
          <a:r>
            <a:rPr lang="en-US" sz="1200" b="1" cap="none" spc="50" baseline="0">
              <a:ln w="12700" cmpd="sng">
                <a:solidFill>
                  <a:schemeClr val="bg1"/>
                </a:solidFill>
                <a:prstDash val="solid"/>
              </a:ln>
              <a:solidFill>
                <a:schemeClr val="bg1"/>
              </a:solidFill>
              <a:effectLst>
                <a:glow rad="53100">
                  <a:schemeClr val="accent6">
                    <a:satMod val="180000"/>
                    <a:alpha val="30000"/>
                  </a:schemeClr>
                </a:glow>
              </a:effectLst>
            </a:rPr>
            <a:t> </a:t>
          </a:r>
          <a:r>
            <a:rPr lang="en-US" sz="1200" b="1" cap="none" spc="50">
              <a:ln w="12700" cmpd="sng">
                <a:solidFill>
                  <a:schemeClr val="bg1"/>
                </a:solidFill>
                <a:prstDash val="solid"/>
              </a:ln>
              <a:solidFill>
                <a:schemeClr val="bg1"/>
              </a:solidFill>
              <a:effectLst>
                <a:glow rad="53100">
                  <a:schemeClr val="accent6">
                    <a:satMod val="180000"/>
                    <a:alpha val="30000"/>
                  </a:schemeClr>
                </a:glow>
              </a:effectLst>
            </a:rPr>
            <a:t>Amount</a:t>
          </a:r>
        </a:p>
      </xdr:txBody>
    </xdr:sp>
    <xdr:clientData/>
  </xdr:twoCellAnchor>
  <xdr:twoCellAnchor>
    <xdr:from>
      <xdr:col>17</xdr:col>
      <xdr:colOff>518609</xdr:colOff>
      <xdr:row>8</xdr:row>
      <xdr:rowOff>23757</xdr:rowOff>
    </xdr:from>
    <xdr:to>
      <xdr:col>19</xdr:col>
      <xdr:colOff>556260</xdr:colOff>
      <xdr:row>9</xdr:row>
      <xdr:rowOff>86511</xdr:rowOff>
    </xdr:to>
    <xdr:sp macro="" textlink="">
      <xdr:nvSpPr>
        <xdr:cNvPr id="13" name="TextBox 12"/>
        <xdr:cNvSpPr txBox="1"/>
      </xdr:nvSpPr>
      <xdr:spPr>
        <a:xfrm>
          <a:off x="10881809" y="1486797"/>
          <a:ext cx="1256851" cy="24563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200" b="1" cap="none" spc="50">
              <a:ln w="12700" cmpd="sng">
                <a:solidFill>
                  <a:schemeClr val="bg1"/>
                </a:solidFill>
                <a:prstDash val="solid"/>
              </a:ln>
              <a:solidFill>
                <a:schemeClr val="bg1"/>
              </a:solidFill>
              <a:effectLst>
                <a:glow rad="53100">
                  <a:schemeClr val="accent6">
                    <a:satMod val="180000"/>
                    <a:alpha val="30000"/>
                  </a:schemeClr>
                </a:glow>
              </a:effectLst>
            </a:rPr>
            <a:t>Order Amount</a:t>
          </a:r>
        </a:p>
      </xdr:txBody>
    </xdr:sp>
    <xdr:clientData/>
  </xdr:twoCellAnchor>
  <xdr:twoCellAnchor>
    <xdr:from>
      <xdr:col>17</xdr:col>
      <xdr:colOff>466166</xdr:colOff>
      <xdr:row>12</xdr:row>
      <xdr:rowOff>125506</xdr:rowOff>
    </xdr:from>
    <xdr:to>
      <xdr:col>19</xdr:col>
      <xdr:colOff>579120</xdr:colOff>
      <xdr:row>14</xdr:row>
      <xdr:rowOff>8965</xdr:rowOff>
    </xdr:to>
    <xdr:sp macro="" textlink="">
      <xdr:nvSpPr>
        <xdr:cNvPr id="18" name="TextBox 17"/>
        <xdr:cNvSpPr txBox="1"/>
      </xdr:nvSpPr>
      <xdr:spPr>
        <a:xfrm>
          <a:off x="10829366" y="2320066"/>
          <a:ext cx="1332154" cy="24921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200" b="1" cap="none" spc="50">
              <a:ln w="12700" cmpd="sng">
                <a:solidFill>
                  <a:schemeClr val="bg1"/>
                </a:solidFill>
                <a:prstDash val="solid"/>
              </a:ln>
              <a:solidFill>
                <a:schemeClr val="bg1"/>
              </a:solidFill>
              <a:effectLst>
                <a:glow rad="53100">
                  <a:schemeClr val="accent6">
                    <a:satMod val="180000"/>
                    <a:alpha val="30000"/>
                  </a:schemeClr>
                </a:glow>
              </a:effectLst>
            </a:rPr>
            <a:t>Delivered</a:t>
          </a:r>
          <a:r>
            <a:rPr lang="en-US" sz="1200" b="1" cap="none" spc="50" baseline="0">
              <a:ln w="12700" cmpd="sng">
                <a:solidFill>
                  <a:schemeClr val="bg1"/>
                </a:solidFill>
                <a:prstDash val="solid"/>
              </a:ln>
              <a:solidFill>
                <a:schemeClr val="bg1"/>
              </a:solidFill>
              <a:effectLst>
                <a:glow rad="53100">
                  <a:schemeClr val="accent6">
                    <a:satMod val="180000"/>
                    <a:alpha val="30000"/>
                  </a:schemeClr>
                </a:glow>
              </a:effectLst>
            </a:rPr>
            <a:t> Order</a:t>
          </a:r>
          <a:endParaRPr lang="en-US" sz="1200" b="1" cap="none" spc="50">
            <a:ln w="12700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twoCellAnchor>
  <xdr:twoCellAnchor>
    <xdr:from>
      <xdr:col>15</xdr:col>
      <xdr:colOff>355897</xdr:colOff>
      <xdr:row>9</xdr:row>
      <xdr:rowOff>152398</xdr:rowOff>
    </xdr:from>
    <xdr:to>
      <xdr:col>17</xdr:col>
      <xdr:colOff>30480</xdr:colOff>
      <xdr:row>11</xdr:row>
      <xdr:rowOff>35858</xdr:rowOff>
    </xdr:to>
    <xdr:sp macro="" textlink="pivot!N3">
      <xdr:nvSpPr>
        <xdr:cNvPr id="19" name="TextBox 18"/>
        <xdr:cNvSpPr txBox="1"/>
      </xdr:nvSpPr>
      <xdr:spPr>
        <a:xfrm>
          <a:off x="9499897" y="1798318"/>
          <a:ext cx="893783" cy="2492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fld id="{9E317E6D-379B-4CE6-B274-874884750E6C}" type="TxLink">
            <a:rPr lang="en-US" sz="1200" b="1" cap="none" spc="50">
              <a:ln w="12700" cmpd="sng">
                <a:solidFill>
                  <a:schemeClr val="bg1"/>
                </a:solidFill>
                <a:prstDash val="solid"/>
              </a:ln>
              <a:solidFill>
                <a:schemeClr val="bg1"/>
              </a:solidFill>
              <a:effectLst>
                <a:glow rad="53100">
                  <a:schemeClr val="accent6">
                    <a:satMod val="180000"/>
                    <a:alpha val="30000"/>
                  </a:schemeClr>
                </a:glow>
              </a:effectLst>
            </a:rPr>
            <a:pPr algn="ctr"/>
            <a:t>1100</a:t>
          </a:fld>
          <a:endParaRPr lang="en-US" sz="1200" b="1" cap="none" spc="50">
            <a:ln w="12700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twoCellAnchor>
  <xdr:twoCellAnchor>
    <xdr:from>
      <xdr:col>17</xdr:col>
      <xdr:colOff>525780</xdr:colOff>
      <xdr:row>10</xdr:row>
      <xdr:rowOff>22858</xdr:rowOff>
    </xdr:from>
    <xdr:to>
      <xdr:col>19</xdr:col>
      <xdr:colOff>525779</xdr:colOff>
      <xdr:row>11</xdr:row>
      <xdr:rowOff>89198</xdr:rowOff>
    </xdr:to>
    <xdr:sp macro="" textlink="pivot!N9">
      <xdr:nvSpPr>
        <xdr:cNvPr id="20" name="TextBox 19"/>
        <xdr:cNvSpPr txBox="1"/>
      </xdr:nvSpPr>
      <xdr:spPr>
        <a:xfrm>
          <a:off x="10888980" y="1851658"/>
          <a:ext cx="1219199" cy="2492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fld id="{1CDBE59D-A262-45DC-87EB-A0BFE73A1542}" type="TxLink">
            <a:rPr lang="en-US" sz="1200" b="1" cap="none" spc="50">
              <a:ln w="12700" cmpd="sng">
                <a:solidFill>
                  <a:schemeClr val="bg1"/>
                </a:solidFill>
                <a:prstDash val="solid"/>
              </a:ln>
              <a:solidFill>
                <a:schemeClr val="bg1"/>
              </a:solidFill>
              <a:effectLst>
                <a:glow rad="53100">
                  <a:schemeClr val="accent6">
                    <a:satMod val="180000"/>
                    <a:alpha val="30000"/>
                  </a:schemeClr>
                </a:glow>
              </a:effectLst>
            </a:rPr>
            <a:t>13437721.62</a:t>
          </a:fld>
          <a:endParaRPr lang="en-US" sz="1200" b="1" cap="none" spc="50">
            <a:ln w="12700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twoCellAnchor>
  <xdr:twoCellAnchor>
    <xdr:from>
      <xdr:col>15</xdr:col>
      <xdr:colOff>121920</xdr:colOff>
      <xdr:row>14</xdr:row>
      <xdr:rowOff>114298</xdr:rowOff>
    </xdr:from>
    <xdr:to>
      <xdr:col>17</xdr:col>
      <xdr:colOff>121919</xdr:colOff>
      <xdr:row>15</xdr:row>
      <xdr:rowOff>180638</xdr:rowOff>
    </xdr:to>
    <xdr:sp macro="" textlink="pivot!N6">
      <xdr:nvSpPr>
        <xdr:cNvPr id="21" name="TextBox 20"/>
        <xdr:cNvSpPr txBox="1"/>
      </xdr:nvSpPr>
      <xdr:spPr>
        <a:xfrm>
          <a:off x="9265920" y="2674618"/>
          <a:ext cx="1219199" cy="2492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fld id="{6B1FC60D-6906-4E84-BD9E-B3B97285DA15}" type="TxLink">
            <a:rPr lang="en-US" sz="1200" b="1" cap="none" spc="50">
              <a:ln w="12700" cmpd="sng">
                <a:solidFill>
                  <a:schemeClr val="bg1"/>
                </a:solidFill>
                <a:prstDash val="solid"/>
              </a:ln>
              <a:solidFill>
                <a:schemeClr val="bg1"/>
              </a:solidFill>
              <a:effectLst>
                <a:glow rad="53100">
                  <a:schemeClr val="accent6">
                    <a:satMod val="180000"/>
                    <a:alpha val="30000"/>
                  </a:schemeClr>
                </a:glow>
              </a:effectLst>
            </a:rPr>
            <a:pPr algn="ctr"/>
            <a:t>12216.11056</a:t>
          </a:fld>
          <a:endParaRPr lang="en-US" sz="1200" b="1" cap="none" spc="50">
            <a:ln w="12700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twoCellAnchor>
  <xdr:twoCellAnchor>
    <xdr:from>
      <xdr:col>17</xdr:col>
      <xdr:colOff>548640</xdr:colOff>
      <xdr:row>14</xdr:row>
      <xdr:rowOff>99058</xdr:rowOff>
    </xdr:from>
    <xdr:to>
      <xdr:col>19</xdr:col>
      <xdr:colOff>548639</xdr:colOff>
      <xdr:row>15</xdr:row>
      <xdr:rowOff>165398</xdr:rowOff>
    </xdr:to>
    <xdr:sp macro="" textlink="pivot!O12">
      <xdr:nvSpPr>
        <xdr:cNvPr id="22" name="TextBox 21"/>
        <xdr:cNvSpPr txBox="1"/>
      </xdr:nvSpPr>
      <xdr:spPr>
        <a:xfrm>
          <a:off x="10911840" y="2659378"/>
          <a:ext cx="1219199" cy="2492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fld id="{1D64EEAA-8ECC-44FA-89EE-535BBA952BBE}" type="TxLink">
            <a:rPr lang="en-US" sz="1200" b="1" cap="none" spc="50">
              <a:ln w="12700" cmpd="sng">
                <a:solidFill>
                  <a:schemeClr val="bg1"/>
                </a:solidFill>
                <a:prstDash val="solid"/>
              </a:ln>
              <a:solidFill>
                <a:schemeClr val="bg1"/>
              </a:solidFill>
              <a:effectLst>
                <a:glow rad="53100">
                  <a:schemeClr val="accent6">
                    <a:satMod val="180000"/>
                    <a:alpha val="30000"/>
                  </a:schemeClr>
                </a:glow>
              </a:effectLst>
            </a:rPr>
            <a:pPr algn="ctr"/>
            <a:t>554</a:t>
          </a:fld>
          <a:endParaRPr lang="en-US" sz="1200" b="1" cap="none" spc="50">
            <a:ln w="12700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twoCellAnchor>
  <xdr:twoCellAnchor>
    <xdr:from>
      <xdr:col>0</xdr:col>
      <xdr:colOff>510540</xdr:colOff>
      <xdr:row>1</xdr:row>
      <xdr:rowOff>22861</xdr:rowOff>
    </xdr:from>
    <xdr:to>
      <xdr:col>9</xdr:col>
      <xdr:colOff>411480</xdr:colOff>
      <xdr:row>3</xdr:row>
      <xdr:rowOff>148815</xdr:rowOff>
    </xdr:to>
    <xdr:sp macro="" textlink="">
      <xdr:nvSpPr>
        <xdr:cNvPr id="23" name="TextBox 22"/>
        <xdr:cNvSpPr txBox="1"/>
      </xdr:nvSpPr>
      <xdr:spPr>
        <a:xfrm>
          <a:off x="510540" y="205741"/>
          <a:ext cx="5387340" cy="491714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2800" b="1" cap="none" spc="50">
              <a:ln w="12700" cmpd="sng">
                <a:solidFill>
                  <a:schemeClr val="bg1"/>
                </a:solidFill>
                <a:prstDash val="solid"/>
              </a:ln>
              <a:solidFill>
                <a:schemeClr val="bg1"/>
              </a:solidFill>
              <a:effectLst>
                <a:glow rad="53100">
                  <a:schemeClr val="accent6">
                    <a:satMod val="180000"/>
                    <a:alpha val="30000"/>
                  </a:schemeClr>
                </a:glow>
              </a:effectLst>
            </a:rPr>
            <a:t>E</a:t>
          </a:r>
          <a:r>
            <a:rPr lang="en-US" sz="2800" b="1" cap="none" spc="50" baseline="0">
              <a:ln w="12700" cmpd="sng">
                <a:solidFill>
                  <a:schemeClr val="bg1"/>
                </a:solidFill>
                <a:prstDash val="solid"/>
              </a:ln>
              <a:solidFill>
                <a:schemeClr val="bg1"/>
              </a:solidFill>
              <a:effectLst>
                <a:glow rad="53100">
                  <a:schemeClr val="accent6">
                    <a:satMod val="180000"/>
                    <a:alpha val="30000"/>
                  </a:schemeClr>
                </a:glow>
              </a:effectLst>
            </a:rPr>
            <a:t> COMMERCE SALES ANALYSIS </a:t>
          </a:r>
          <a:endParaRPr lang="en-US" sz="2800" b="1" cap="none" spc="50">
            <a:ln w="12700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ITYA TYAGI" refreshedDate="46197.697235648149" createdVersion="3" refreshedVersion="3" minRefreshableVersion="3" recordCount="1100">
  <cacheSource type="worksheet">
    <worksheetSource name="Table1"/>
  </cacheSource>
  <cacheFields count="14">
    <cacheField name="OrderID" numFmtId="0">
      <sharedItems count="1100">
        <s v="OD20001"/>
        <s v="OD20002"/>
        <s v="OD20003"/>
        <s v="OD20004"/>
        <s v="OD20005"/>
        <s v="OD20006"/>
        <s v="OD20007"/>
        <s v="OD20008"/>
        <s v="OD20009"/>
        <s v="OD20010"/>
        <s v="OD20011"/>
        <s v="OD20012"/>
        <s v="OD20013"/>
        <s v="OD20014"/>
        <s v="OD20015"/>
        <s v="OD20016"/>
        <s v="OD20017"/>
        <s v="OD20018"/>
        <s v="OD20019"/>
        <s v="OD20020"/>
        <s v="OD20021"/>
        <s v="OD20022"/>
        <s v="OD20023"/>
        <s v="OD20024"/>
        <s v="OD20025"/>
        <s v="OD20026"/>
        <s v="OD20027"/>
        <s v="OD20028"/>
        <s v="OD20029"/>
        <s v="OD20030"/>
        <s v="OD20031"/>
        <s v="OD20032"/>
        <s v="OD20033"/>
        <s v="OD20034"/>
        <s v="OD20035"/>
        <s v="OD20036"/>
        <s v="OD20037"/>
        <s v="OD20038"/>
        <s v="OD20039"/>
        <s v="OD20040"/>
        <s v="OD20041"/>
        <s v="OD20042"/>
        <s v="OD20043"/>
        <s v="OD20044"/>
        <s v="OD20045"/>
        <s v="OD20046"/>
        <s v="OD20047"/>
        <s v="OD20048"/>
        <s v="OD20049"/>
        <s v="OD20050"/>
        <s v="OD20051"/>
        <s v="OD20052"/>
        <s v="OD20053"/>
        <s v="OD20054"/>
        <s v="OD20055"/>
        <s v="OD20056"/>
        <s v="OD20057"/>
        <s v="OD20058"/>
        <s v="OD20059"/>
        <s v="OD20060"/>
        <s v="OD20061"/>
        <s v="OD20062"/>
        <s v="OD20063"/>
        <s v="OD20064"/>
        <s v="OD20065"/>
        <s v="OD20066"/>
        <s v="OD20067"/>
        <s v="OD20068"/>
        <s v="OD20069"/>
        <s v="OD20070"/>
        <s v="OD20071"/>
        <s v="OD20072"/>
        <s v="OD20073"/>
        <s v="OD20074"/>
        <s v="OD20075"/>
        <s v="OD20076"/>
        <s v="OD20077"/>
        <s v="OD20078"/>
        <s v="OD20079"/>
        <s v="OD20080"/>
        <s v="OD20081"/>
        <s v="OD20082"/>
        <s v="OD20083"/>
        <s v="OD20084"/>
        <s v="OD20085"/>
        <s v="OD20086"/>
        <s v="OD20087"/>
        <s v="OD20088"/>
        <s v="OD20089"/>
        <s v="OD20090"/>
        <s v="OD20091"/>
        <s v="OD20092"/>
        <s v="OD20093"/>
        <s v="OD20094"/>
        <s v="OD20095"/>
        <s v="OD20096"/>
        <s v="OD20097"/>
        <s v="OD20098"/>
        <s v="OD20099"/>
        <s v="OD20100"/>
        <s v="OD20101"/>
        <s v="OD20102"/>
        <s v="OD20103"/>
        <s v="OD20104"/>
        <s v="OD20105"/>
        <s v="OD20106"/>
        <s v="OD20107"/>
        <s v="OD20108"/>
        <s v="OD20109"/>
        <s v="OD20110"/>
        <s v="OD20111"/>
        <s v="OD20112"/>
        <s v="OD20113"/>
        <s v="OD20114"/>
        <s v="OD20115"/>
        <s v="OD20116"/>
        <s v="OD20117"/>
        <s v="OD20118"/>
        <s v="OD20119"/>
        <s v="OD20120"/>
        <s v="OD20121"/>
        <s v="OD20122"/>
        <s v="OD20123"/>
        <s v="OD20124"/>
        <s v="OD20125"/>
        <s v="OD20126"/>
        <s v="OD20127"/>
        <s v="OD20128"/>
        <s v="OD20129"/>
        <s v="OD20130"/>
        <s v="OD20131"/>
        <s v="OD20132"/>
        <s v="OD20133"/>
        <s v="OD20134"/>
        <s v="OD20135"/>
        <s v="OD20136"/>
        <s v="OD20137"/>
        <s v="OD20138"/>
        <s v="OD20139"/>
        <s v="OD20140"/>
        <s v="OD20141"/>
        <s v="OD20142"/>
        <s v="OD20143"/>
        <s v="OD20144"/>
        <s v="OD20145"/>
        <s v="OD20146"/>
        <s v="OD20147"/>
        <s v="OD20148"/>
        <s v="OD20149"/>
        <s v="OD20150"/>
        <s v="OD20151"/>
        <s v="OD20152"/>
        <s v="OD20153"/>
        <s v="OD20154"/>
        <s v="OD20155"/>
        <s v="OD20156"/>
        <s v="OD20157"/>
        <s v="OD20158"/>
        <s v="OD20159"/>
        <s v="OD20160"/>
        <s v="OD20161"/>
        <s v="OD20162"/>
        <s v="OD20163"/>
        <s v="OD20164"/>
        <s v="OD20165"/>
        <s v="OD20166"/>
        <s v="OD20167"/>
        <s v="OD20168"/>
        <s v="OD20169"/>
        <s v="OD20170"/>
        <s v="OD20171"/>
        <s v="OD20172"/>
        <s v="OD20173"/>
        <s v="OD20174"/>
        <s v="OD20175"/>
        <s v="OD20176"/>
        <s v="OD20177"/>
        <s v="OD20178"/>
        <s v="OD20179"/>
        <s v="OD20180"/>
        <s v="OD20181"/>
        <s v="OD20182"/>
        <s v="OD20183"/>
        <s v="OD20184"/>
        <s v="OD20185"/>
        <s v="OD20186"/>
        <s v="OD20187"/>
        <s v="OD20188"/>
        <s v="OD20189"/>
        <s v="OD20190"/>
        <s v="OD20191"/>
        <s v="OD20192"/>
        <s v="OD20193"/>
        <s v="OD20194"/>
        <s v="OD20195"/>
        <s v="OD20196"/>
        <s v="OD20197"/>
        <s v="OD20198"/>
        <s v="OD20199"/>
        <s v="OD20200"/>
        <s v="OD20201"/>
        <s v="OD20202"/>
        <s v="OD20203"/>
        <s v="OD20204"/>
        <s v="OD20205"/>
        <s v="OD20206"/>
        <s v="OD20207"/>
        <s v="OD20208"/>
        <s v="OD20209"/>
        <s v="OD20210"/>
        <s v="OD20211"/>
        <s v="OD20212"/>
        <s v="OD20213"/>
        <s v="OD20214"/>
        <s v="OD20215"/>
        <s v="OD20216"/>
        <s v="OD20217"/>
        <s v="OD20218"/>
        <s v="OD20219"/>
        <s v="OD20220"/>
        <s v="OD20221"/>
        <s v="OD20222"/>
        <s v="OD20223"/>
        <s v="OD20224"/>
        <s v="OD20225"/>
        <s v="OD20226"/>
        <s v="OD20227"/>
        <s v="OD20228"/>
        <s v="OD20229"/>
        <s v="OD20230"/>
        <s v="OD20231"/>
        <s v="OD20232"/>
        <s v="OD20233"/>
        <s v="OD20234"/>
        <s v="OD20235"/>
        <s v="OD20236"/>
        <s v="OD20237"/>
        <s v="OD20238"/>
        <s v="OD20239"/>
        <s v="OD20240"/>
        <s v="OD20241"/>
        <s v="OD20242"/>
        <s v="OD20243"/>
        <s v="OD20244"/>
        <s v="OD20245"/>
        <s v="OD20246"/>
        <s v="OD20247"/>
        <s v="OD20248"/>
        <s v="OD20249"/>
        <s v="OD20250"/>
        <s v="OD20251"/>
        <s v="OD20252"/>
        <s v="OD20253"/>
        <s v="OD20254"/>
        <s v="OD20255"/>
        <s v="OD20256"/>
        <s v="OD20257"/>
        <s v="OD20258"/>
        <s v="OD20259"/>
        <s v="OD20260"/>
        <s v="OD20261"/>
        <s v="OD20262"/>
        <s v="OD20263"/>
        <s v="OD20264"/>
        <s v="OD20265"/>
        <s v="OD20266"/>
        <s v="OD20267"/>
        <s v="OD20268"/>
        <s v="OD20269"/>
        <s v="OD20270"/>
        <s v="OD20271"/>
        <s v="OD20272"/>
        <s v="OD20273"/>
        <s v="OD20274"/>
        <s v="OD20275"/>
        <s v="OD20276"/>
        <s v="OD20277"/>
        <s v="OD20278"/>
        <s v="OD20279"/>
        <s v="OD20280"/>
        <s v="OD20281"/>
        <s v="OD20282"/>
        <s v="OD20283"/>
        <s v="OD20284"/>
        <s v="OD20285"/>
        <s v="OD20286"/>
        <s v="OD20287"/>
        <s v="OD20288"/>
        <s v="OD20289"/>
        <s v="OD20290"/>
        <s v="OD20291"/>
        <s v="OD20292"/>
        <s v="OD20293"/>
        <s v="OD20294"/>
        <s v="OD20295"/>
        <s v="OD20296"/>
        <s v="OD20297"/>
        <s v="OD20298"/>
        <s v="OD20299"/>
        <s v="OD20300"/>
        <s v="OD20301"/>
        <s v="OD20302"/>
        <s v="OD20303"/>
        <s v="OD20304"/>
        <s v="OD20305"/>
        <s v="OD20306"/>
        <s v="OD20307"/>
        <s v="OD20308"/>
        <s v="OD20309"/>
        <s v="OD20310"/>
        <s v="OD20311"/>
        <s v="OD20312"/>
        <s v="OD20313"/>
        <s v="OD20314"/>
        <s v="OD20315"/>
        <s v="OD20316"/>
        <s v="OD20317"/>
        <s v="OD20318"/>
        <s v="OD20319"/>
        <s v="OD20320"/>
        <s v="OD20321"/>
        <s v="OD20322"/>
        <s v="OD20323"/>
        <s v="OD20324"/>
        <s v="OD20325"/>
        <s v="OD20326"/>
        <s v="OD20327"/>
        <s v="OD20328"/>
        <s v="OD20329"/>
        <s v="OD20330"/>
        <s v="OD20331"/>
        <s v="OD20332"/>
        <s v="OD20333"/>
        <s v="OD20334"/>
        <s v="OD20335"/>
        <s v="OD20336"/>
        <s v="OD20337"/>
        <s v="OD20338"/>
        <s v="OD20339"/>
        <s v="OD20340"/>
        <s v="OD20341"/>
        <s v="OD20342"/>
        <s v="OD20343"/>
        <s v="OD20344"/>
        <s v="OD20345"/>
        <s v="OD20346"/>
        <s v="OD20347"/>
        <s v="OD20348"/>
        <s v="OD20349"/>
        <s v="OD20350"/>
        <s v="OD20351"/>
        <s v="OD20352"/>
        <s v="OD20353"/>
        <s v="OD20354"/>
        <s v="OD20355"/>
        <s v="OD20356"/>
        <s v="OD20357"/>
        <s v="OD20358"/>
        <s v="OD20359"/>
        <s v="OD20360"/>
        <s v="OD20361"/>
        <s v="OD20362"/>
        <s v="OD20363"/>
        <s v="OD20364"/>
        <s v="OD20365"/>
        <s v="OD20366"/>
        <s v="OD20367"/>
        <s v="OD20368"/>
        <s v="OD20369"/>
        <s v="OD20370"/>
        <s v="OD20371"/>
        <s v="OD20372"/>
        <s v="OD20373"/>
        <s v="OD20374"/>
        <s v="OD20375"/>
        <s v="OD20376"/>
        <s v="OD20377"/>
        <s v="OD20378"/>
        <s v="OD20379"/>
        <s v="OD20380"/>
        <s v="OD20381"/>
        <s v="OD20382"/>
        <s v="OD20383"/>
        <s v="OD20384"/>
        <s v="OD20385"/>
        <s v="OD20386"/>
        <s v="OD20387"/>
        <s v="OD20388"/>
        <s v="OD20389"/>
        <s v="OD20390"/>
        <s v="OD20391"/>
        <s v="OD20392"/>
        <s v="OD20393"/>
        <s v="OD20394"/>
        <s v="OD20395"/>
        <s v="OD20396"/>
        <s v="OD20397"/>
        <s v="OD20398"/>
        <s v="OD20399"/>
        <s v="OD20400"/>
        <s v="OD20401"/>
        <s v="OD20402"/>
        <s v="OD20403"/>
        <s v="OD20404"/>
        <s v="OD20405"/>
        <s v="OD20406"/>
        <s v="OD20407"/>
        <s v="OD20408"/>
        <s v="OD20409"/>
        <s v="OD20410"/>
        <s v="OD20411"/>
        <s v="OD20412"/>
        <s v="OD20413"/>
        <s v="OD20414"/>
        <s v="OD20415"/>
        <s v="OD20416"/>
        <s v="OD20417"/>
        <s v="OD20418"/>
        <s v="OD20419"/>
        <s v="OD20420"/>
        <s v="OD20421"/>
        <s v="OD20422"/>
        <s v="OD20423"/>
        <s v="OD20424"/>
        <s v="OD20425"/>
        <s v="OD20426"/>
        <s v="OD20427"/>
        <s v="OD20428"/>
        <s v="OD20429"/>
        <s v="OD20430"/>
        <s v="OD20431"/>
        <s v="OD20432"/>
        <s v="OD20433"/>
        <s v="OD20434"/>
        <s v="OD20435"/>
        <s v="OD20436"/>
        <s v="OD20437"/>
        <s v="OD20438"/>
        <s v="OD20439"/>
        <s v="OD20440"/>
        <s v="OD20441"/>
        <s v="OD20442"/>
        <s v="OD20443"/>
        <s v="OD20444"/>
        <s v="OD20445"/>
        <s v="OD20446"/>
        <s v="OD20447"/>
        <s v="OD20448"/>
        <s v="OD20449"/>
        <s v="OD20450"/>
        <s v="OD20451"/>
        <s v="OD20452"/>
        <s v="OD20453"/>
        <s v="OD20454"/>
        <s v="OD20455"/>
        <s v="OD20456"/>
        <s v="OD20457"/>
        <s v="OD20458"/>
        <s v="OD20459"/>
        <s v="OD20460"/>
        <s v="OD20461"/>
        <s v="OD20462"/>
        <s v="OD20463"/>
        <s v="OD20464"/>
        <s v="OD20465"/>
        <s v="OD20466"/>
        <s v="OD20467"/>
        <s v="OD20468"/>
        <s v="OD20469"/>
        <s v="OD20470"/>
        <s v="OD20471"/>
        <s v="OD20472"/>
        <s v="OD20473"/>
        <s v="OD20474"/>
        <s v="OD20475"/>
        <s v="OD20476"/>
        <s v="OD20477"/>
        <s v="OD20478"/>
        <s v="OD20479"/>
        <s v="OD20480"/>
        <s v="OD20481"/>
        <s v="OD20482"/>
        <s v="OD20483"/>
        <s v="OD20484"/>
        <s v="OD20485"/>
        <s v="OD20486"/>
        <s v="OD20487"/>
        <s v="OD20488"/>
        <s v="OD20489"/>
        <s v="OD20490"/>
        <s v="OD20491"/>
        <s v="OD20492"/>
        <s v="OD20493"/>
        <s v="OD20494"/>
        <s v="OD20495"/>
        <s v="OD20496"/>
        <s v="OD20497"/>
        <s v="OD20498"/>
        <s v="OD20499"/>
        <s v="OD20500"/>
        <s v="OD20501"/>
        <s v="OD20502"/>
        <s v="OD20503"/>
        <s v="OD20504"/>
        <s v="OD20505"/>
        <s v="OD20506"/>
        <s v="OD20507"/>
        <s v="OD20508"/>
        <s v="OD20509"/>
        <s v="OD20510"/>
        <s v="OD20511"/>
        <s v="OD20512"/>
        <s v="OD20513"/>
        <s v="OD20514"/>
        <s v="OD20515"/>
        <s v="OD20516"/>
        <s v="OD20517"/>
        <s v="OD20518"/>
        <s v="OD20519"/>
        <s v="OD20520"/>
        <s v="OD20521"/>
        <s v="OD20522"/>
        <s v="OD20523"/>
        <s v="OD20524"/>
        <s v="OD20525"/>
        <s v="OD20526"/>
        <s v="OD20527"/>
        <s v="OD20528"/>
        <s v="OD20529"/>
        <s v="OD20530"/>
        <s v="OD20531"/>
        <s v="OD20532"/>
        <s v="OD20533"/>
        <s v="OD20534"/>
        <s v="OD20535"/>
        <s v="OD20536"/>
        <s v="OD20537"/>
        <s v="OD20538"/>
        <s v="OD20539"/>
        <s v="OD20540"/>
        <s v="OD20541"/>
        <s v="OD20542"/>
        <s v="OD20543"/>
        <s v="OD20544"/>
        <s v="OD20545"/>
        <s v="OD20546"/>
        <s v="OD20547"/>
        <s v="OD20548"/>
        <s v="OD20549"/>
        <s v="OD20550"/>
        <s v="OD20551"/>
        <s v="OD20552"/>
        <s v="OD20553"/>
        <s v="OD20554"/>
        <s v="OD20555"/>
        <s v="OD20556"/>
        <s v="OD20557"/>
        <s v="OD20558"/>
        <s v="OD20559"/>
        <s v="OD20560"/>
        <s v="OD20561"/>
        <s v="OD20562"/>
        <s v="OD20563"/>
        <s v="OD20564"/>
        <s v="OD20565"/>
        <s v="OD20566"/>
        <s v="OD20567"/>
        <s v="OD20568"/>
        <s v="OD20569"/>
        <s v="OD20570"/>
        <s v="OD20571"/>
        <s v="OD20572"/>
        <s v="OD20573"/>
        <s v="OD20574"/>
        <s v="OD20575"/>
        <s v="OD20576"/>
        <s v="OD20577"/>
        <s v="OD20578"/>
        <s v="OD20579"/>
        <s v="OD20580"/>
        <s v="OD20581"/>
        <s v="OD20582"/>
        <s v="OD20583"/>
        <s v="OD20584"/>
        <s v="OD20585"/>
        <s v="OD20586"/>
        <s v="OD20587"/>
        <s v="OD20588"/>
        <s v="OD20589"/>
        <s v="OD20590"/>
        <s v="OD20591"/>
        <s v="OD20592"/>
        <s v="OD20593"/>
        <s v="OD20594"/>
        <s v="OD20595"/>
        <s v="OD20596"/>
        <s v="OD20597"/>
        <s v="OD20598"/>
        <s v="OD20599"/>
        <s v="OD20600"/>
        <s v="OD20601"/>
        <s v="OD20602"/>
        <s v="OD20603"/>
        <s v="OD20604"/>
        <s v="OD20605"/>
        <s v="OD20606"/>
        <s v="OD20607"/>
        <s v="OD20608"/>
        <s v="OD20609"/>
        <s v="OD20610"/>
        <s v="OD20611"/>
        <s v="OD20612"/>
        <s v="OD20613"/>
        <s v="OD20614"/>
        <s v="OD20615"/>
        <s v="OD20616"/>
        <s v="OD20617"/>
        <s v="OD20618"/>
        <s v="OD20619"/>
        <s v="OD20620"/>
        <s v="OD20621"/>
        <s v="OD20622"/>
        <s v="OD20623"/>
        <s v="OD20624"/>
        <s v="OD20625"/>
        <s v="OD20626"/>
        <s v="OD20627"/>
        <s v="OD20628"/>
        <s v="OD20629"/>
        <s v="OD20630"/>
        <s v="OD20631"/>
        <s v="OD20632"/>
        <s v="OD20633"/>
        <s v="OD20634"/>
        <s v="OD20635"/>
        <s v="OD20636"/>
        <s v="OD20637"/>
        <s v="OD20638"/>
        <s v="OD20639"/>
        <s v="OD20640"/>
        <s v="OD20641"/>
        <s v="OD20642"/>
        <s v="OD20643"/>
        <s v="OD20644"/>
        <s v="OD20645"/>
        <s v="OD20646"/>
        <s v="OD20647"/>
        <s v="OD20648"/>
        <s v="OD20649"/>
        <s v="OD20650"/>
        <s v="OD20651"/>
        <s v="OD20652"/>
        <s v="OD20653"/>
        <s v="OD20654"/>
        <s v="OD20655"/>
        <s v="OD20656"/>
        <s v="OD20657"/>
        <s v="OD20658"/>
        <s v="OD20659"/>
        <s v="OD20660"/>
        <s v="OD20661"/>
        <s v="OD20662"/>
        <s v="OD20663"/>
        <s v="OD20664"/>
        <s v="OD20665"/>
        <s v="OD20666"/>
        <s v="OD20667"/>
        <s v="OD20668"/>
        <s v="OD20669"/>
        <s v="OD20670"/>
        <s v="OD20671"/>
        <s v="OD20672"/>
        <s v="OD20673"/>
        <s v="OD20674"/>
        <s v="OD20675"/>
        <s v="OD20676"/>
        <s v="OD20677"/>
        <s v="OD20678"/>
        <s v="OD20679"/>
        <s v="OD20680"/>
        <s v="OD20681"/>
        <s v="OD20682"/>
        <s v="OD20683"/>
        <s v="OD20684"/>
        <s v="OD20685"/>
        <s v="OD20686"/>
        <s v="OD20687"/>
        <s v="OD20688"/>
        <s v="OD20689"/>
        <s v="OD20690"/>
        <s v="OD20691"/>
        <s v="OD20692"/>
        <s v="OD20693"/>
        <s v="OD20694"/>
        <s v="OD20695"/>
        <s v="OD20696"/>
        <s v="OD20697"/>
        <s v="OD20698"/>
        <s v="OD20699"/>
        <s v="OD20700"/>
        <s v="OD20701"/>
        <s v="OD20702"/>
        <s v="OD20703"/>
        <s v="OD20704"/>
        <s v="OD20705"/>
        <s v="OD20706"/>
        <s v="OD20707"/>
        <s v="OD20708"/>
        <s v="OD20709"/>
        <s v="OD20710"/>
        <s v="OD20711"/>
        <s v="OD20712"/>
        <s v="OD20713"/>
        <s v="OD20714"/>
        <s v="OD20715"/>
        <s v="OD20716"/>
        <s v="OD20717"/>
        <s v="OD20718"/>
        <s v="OD20719"/>
        <s v="OD20720"/>
        <s v="OD20721"/>
        <s v="OD20722"/>
        <s v="OD20723"/>
        <s v="OD20724"/>
        <s v="OD20725"/>
        <s v="OD20726"/>
        <s v="OD20727"/>
        <s v="OD20728"/>
        <s v="OD20729"/>
        <s v="OD20730"/>
        <s v="OD20731"/>
        <s v="OD20732"/>
        <s v="OD20733"/>
        <s v="OD20734"/>
        <s v="OD20735"/>
        <s v="OD20736"/>
        <s v="OD20737"/>
        <s v="OD20738"/>
        <s v="OD20739"/>
        <s v="OD20740"/>
        <s v="OD20741"/>
        <s v="OD20742"/>
        <s v="OD20743"/>
        <s v="OD20744"/>
        <s v="OD20745"/>
        <s v="OD20746"/>
        <s v="OD20747"/>
        <s v="OD20748"/>
        <s v="OD20749"/>
        <s v="OD20750"/>
        <s v="OD20751"/>
        <s v="OD20752"/>
        <s v="OD20753"/>
        <s v="OD20754"/>
        <s v="OD20755"/>
        <s v="OD20756"/>
        <s v="OD20757"/>
        <s v="OD20758"/>
        <s v="OD20759"/>
        <s v="OD20760"/>
        <s v="OD20761"/>
        <s v="OD20762"/>
        <s v="OD20763"/>
        <s v="OD20764"/>
        <s v="OD20765"/>
        <s v="OD20766"/>
        <s v="OD20767"/>
        <s v="OD20768"/>
        <s v="OD20769"/>
        <s v="OD20770"/>
        <s v="OD20771"/>
        <s v="OD20772"/>
        <s v="OD20773"/>
        <s v="OD20774"/>
        <s v="OD20775"/>
        <s v="OD20776"/>
        <s v="OD20777"/>
        <s v="OD20778"/>
        <s v="OD20779"/>
        <s v="OD20780"/>
        <s v="OD20781"/>
        <s v="OD20782"/>
        <s v="OD20783"/>
        <s v="OD20784"/>
        <s v="OD20785"/>
        <s v="OD20786"/>
        <s v="OD20787"/>
        <s v="OD20788"/>
        <s v="OD20789"/>
        <s v="OD20790"/>
        <s v="OD20791"/>
        <s v="OD20792"/>
        <s v="OD20793"/>
        <s v="OD20794"/>
        <s v="OD20795"/>
        <s v="OD20796"/>
        <s v="OD20797"/>
        <s v="OD20798"/>
        <s v="OD20799"/>
        <s v="OD20800"/>
        <s v="OD20801"/>
        <s v="OD20802"/>
        <s v="OD20803"/>
        <s v="OD20804"/>
        <s v="OD20805"/>
        <s v="OD20806"/>
        <s v="OD20807"/>
        <s v="OD20808"/>
        <s v="OD20809"/>
        <s v="OD20810"/>
        <s v="OD20811"/>
        <s v="OD20812"/>
        <s v="OD20813"/>
        <s v="OD20814"/>
        <s v="OD20815"/>
        <s v="OD20816"/>
        <s v="OD20817"/>
        <s v="OD20818"/>
        <s v="OD20819"/>
        <s v="OD20820"/>
        <s v="OD20821"/>
        <s v="OD20822"/>
        <s v="OD20823"/>
        <s v="OD20824"/>
        <s v="OD20825"/>
        <s v="OD20826"/>
        <s v="OD20827"/>
        <s v="OD20828"/>
        <s v="OD20829"/>
        <s v="OD20830"/>
        <s v="OD20831"/>
        <s v="OD20832"/>
        <s v="OD20833"/>
        <s v="OD20834"/>
        <s v="OD20835"/>
        <s v="OD20836"/>
        <s v="OD20837"/>
        <s v="OD20838"/>
        <s v="OD20839"/>
        <s v="OD20840"/>
        <s v="OD20841"/>
        <s v="OD20842"/>
        <s v="OD20843"/>
        <s v="OD20844"/>
        <s v="OD20845"/>
        <s v="OD20846"/>
        <s v="OD20847"/>
        <s v="OD20848"/>
        <s v="OD20849"/>
        <s v="OD20850"/>
        <s v="OD20851"/>
        <s v="OD20852"/>
        <s v="OD20853"/>
        <s v="OD20854"/>
        <s v="OD20855"/>
        <s v="OD20856"/>
        <s v="OD20857"/>
        <s v="OD20858"/>
        <s v="OD20859"/>
        <s v="OD20860"/>
        <s v="OD20861"/>
        <s v="OD20862"/>
        <s v="OD20863"/>
        <s v="OD20864"/>
        <s v="OD20865"/>
        <s v="OD20866"/>
        <s v="OD20867"/>
        <s v="OD20868"/>
        <s v="OD20869"/>
        <s v="OD20870"/>
        <s v="OD20871"/>
        <s v="OD20872"/>
        <s v="OD20873"/>
        <s v="OD20874"/>
        <s v="OD20875"/>
        <s v="OD20876"/>
        <s v="OD20877"/>
        <s v="OD20878"/>
        <s v="OD20879"/>
        <s v="OD20880"/>
        <s v="OD20881"/>
        <s v="OD20882"/>
        <s v="OD20883"/>
        <s v="OD20884"/>
        <s v="OD20885"/>
        <s v="OD20886"/>
        <s v="OD20887"/>
        <s v="OD20888"/>
        <s v="OD20889"/>
        <s v="OD20890"/>
        <s v="OD20891"/>
        <s v="OD20892"/>
        <s v="OD20893"/>
        <s v="OD20894"/>
        <s v="OD20895"/>
        <s v="OD20896"/>
        <s v="OD20897"/>
        <s v="OD20898"/>
        <s v="OD20899"/>
        <s v="OD20900"/>
        <s v="OD20901"/>
        <s v="OD20902"/>
        <s v="OD20903"/>
        <s v="OD20904"/>
        <s v="OD20905"/>
        <s v="OD20906"/>
        <s v="OD20907"/>
        <s v="OD20908"/>
        <s v="OD20909"/>
        <s v="OD20910"/>
        <s v="OD20911"/>
        <s v="OD20912"/>
        <s v="OD20913"/>
        <s v="OD20914"/>
        <s v="OD20915"/>
        <s v="OD20916"/>
        <s v="OD20917"/>
        <s v="OD20918"/>
        <s v="OD20919"/>
        <s v="OD20920"/>
        <s v="OD20921"/>
        <s v="OD20922"/>
        <s v="OD20923"/>
        <s v="OD20924"/>
        <s v="OD20925"/>
        <s v="OD20926"/>
        <s v="OD20927"/>
        <s v="OD20928"/>
        <s v="OD20929"/>
        <s v="OD20930"/>
        <s v="OD20931"/>
        <s v="OD20932"/>
        <s v="OD20933"/>
        <s v="OD20934"/>
        <s v="OD20935"/>
        <s v="OD20936"/>
        <s v="OD20937"/>
        <s v="OD20938"/>
        <s v="OD20939"/>
        <s v="OD20940"/>
        <s v="OD20941"/>
        <s v="OD20942"/>
        <s v="OD20943"/>
        <s v="OD20944"/>
        <s v="OD20945"/>
        <s v="OD20946"/>
        <s v="OD20947"/>
        <s v="OD20948"/>
        <s v="OD20949"/>
        <s v="OD20950"/>
        <s v="OD20951"/>
        <s v="OD20952"/>
        <s v="OD20953"/>
        <s v="OD20954"/>
        <s v="OD20955"/>
        <s v="OD20956"/>
        <s v="OD20957"/>
        <s v="OD20958"/>
        <s v="OD20959"/>
        <s v="OD20960"/>
        <s v="OD20961"/>
        <s v="OD20962"/>
        <s v="OD20963"/>
        <s v="OD20964"/>
        <s v="OD20965"/>
        <s v="OD20966"/>
        <s v="OD20967"/>
        <s v="OD20968"/>
        <s v="OD20969"/>
        <s v="OD20970"/>
        <s v="OD20971"/>
        <s v="OD20972"/>
        <s v="OD20973"/>
        <s v="OD20974"/>
        <s v="OD20975"/>
        <s v="OD20976"/>
        <s v="OD20977"/>
        <s v="OD20978"/>
        <s v="OD20979"/>
        <s v="OD20980"/>
        <s v="OD20981"/>
        <s v="OD20982"/>
        <s v="OD20983"/>
        <s v="OD20984"/>
        <s v="OD20985"/>
        <s v="OD20986"/>
        <s v="OD20987"/>
        <s v="OD20988"/>
        <s v="OD20989"/>
        <s v="OD20990"/>
        <s v="OD20991"/>
        <s v="OD20992"/>
        <s v="OD20993"/>
        <s v="OD20994"/>
        <s v="OD20995"/>
        <s v="OD20996"/>
        <s v="OD20997"/>
        <s v="OD20998"/>
        <s v="OD20999"/>
        <s v="OD21000"/>
        <s v="OD21001"/>
        <s v="OD21002"/>
        <s v="OD21003"/>
        <s v="OD21004"/>
        <s v="OD21005"/>
        <s v="OD21006"/>
        <s v="OD21007"/>
        <s v="OD21008"/>
        <s v="OD21009"/>
        <s v="OD21010"/>
        <s v="OD21011"/>
        <s v="OD21012"/>
        <s v="OD21013"/>
        <s v="OD21014"/>
        <s v="OD21015"/>
        <s v="OD21016"/>
        <s v="OD21017"/>
        <s v="OD21018"/>
        <s v="OD21019"/>
        <s v="OD21020"/>
        <s v="OD21021"/>
        <s v="OD21022"/>
        <s v="OD21023"/>
        <s v="OD21024"/>
        <s v="OD21025"/>
        <s v="OD21026"/>
        <s v="OD21027"/>
        <s v="OD21028"/>
        <s v="OD21029"/>
        <s v="OD21030"/>
        <s v="OD21031"/>
        <s v="OD21032"/>
        <s v="OD21033"/>
        <s v="OD21034"/>
        <s v="OD21035"/>
        <s v="OD21036"/>
        <s v="OD21037"/>
        <s v="OD21038"/>
        <s v="OD21039"/>
        <s v="OD21040"/>
        <s v="OD21041"/>
        <s v="OD21042"/>
        <s v="OD21043"/>
        <s v="OD21044"/>
        <s v="OD21045"/>
        <s v="OD21046"/>
        <s v="OD21047"/>
        <s v="OD21048"/>
        <s v="OD21049"/>
        <s v="OD21050"/>
        <s v="OD21051"/>
        <s v="OD21052"/>
        <s v="OD21053"/>
        <s v="OD21054"/>
        <s v="OD21055"/>
        <s v="OD21056"/>
        <s v="OD21057"/>
        <s v="OD21058"/>
        <s v="OD21059"/>
        <s v="OD21060"/>
        <s v="OD21061"/>
        <s v="OD21062"/>
        <s v="OD21063"/>
        <s v="OD21064"/>
        <s v="OD21065"/>
        <s v="OD21066"/>
        <s v="OD21067"/>
        <s v="OD21068"/>
        <s v="OD21069"/>
        <s v="OD21070"/>
        <s v="OD21071"/>
        <s v="OD21072"/>
        <s v="OD21073"/>
        <s v="OD21074"/>
        <s v="OD21075"/>
        <s v="OD21076"/>
        <s v="OD21077"/>
        <s v="OD21078"/>
        <s v="OD21079"/>
        <s v="OD21080"/>
        <s v="OD21081"/>
        <s v="OD21082"/>
        <s v="OD21083"/>
        <s v="OD21084"/>
        <s v="OD21085"/>
        <s v="OD21086"/>
        <s v="OD21087"/>
        <s v="OD21088"/>
        <s v="OD21089"/>
        <s v="OD21090"/>
        <s v="OD21091"/>
        <s v="OD21092"/>
        <s v="OD21093"/>
        <s v="OD21094"/>
        <s v="OD21095"/>
        <s v="OD21096"/>
        <s v="OD21097"/>
        <s v="OD21098"/>
        <s v="OD21099"/>
        <s v="OD21100"/>
      </sharedItems>
    </cacheField>
    <cacheField name="OrderDate" numFmtId="14">
      <sharedItems containsSemiMixedTypes="0" containsNonDate="0" containsDate="1" containsString="0" minDate="2024-01-01T00:00:00" maxDate="2025-01-01T00:00:00"/>
    </cacheField>
    <cacheField name="Category" numFmtId="0">
      <sharedItems count="5">
        <s v="Home"/>
        <s v="Fashion"/>
        <s v="Books"/>
        <s v="Electronics"/>
        <s v="Beauty"/>
      </sharedItems>
    </cacheField>
    <cacheField name="Product" numFmtId="0">
      <sharedItems/>
    </cacheField>
    <cacheField name="State" numFmtId="0">
      <sharedItems count="8">
        <s v="West Bengal"/>
        <s v="Tamil Nadu"/>
        <s v="Delhi"/>
        <s v="Rajasthan"/>
        <s v="Karnataka"/>
        <s v="Maharashtra"/>
        <s v="Up"/>
        <s v="Gujarat"/>
      </sharedItems>
    </cacheField>
    <cacheField name="Quantity" numFmtId="0">
      <sharedItems containsSemiMixedTypes="0" containsString="0" containsNumber="1" containsInteger="1" minValue="1" maxValue="6"/>
    </cacheField>
    <cacheField name="UnitPrice" numFmtId="0">
      <sharedItems containsSemiMixedTypes="0" containsString="0" containsNumber="1" minValue="170.53" maxValue="7995.38"/>
    </cacheField>
    <cacheField name="Discount%" numFmtId="10">
      <sharedItems containsSemiMixedTypes="0" containsString="0" containsNumber="1" minValue="0" maxValue="0.25"/>
    </cacheField>
    <cacheField name="OrderStatus" numFmtId="0">
      <sharedItems count="4">
        <s v="Delivered"/>
        <s v="Pending"/>
        <s v="Returned"/>
        <s v="Cancelled"/>
      </sharedItems>
    </cacheField>
    <cacheField name="PaymentMode" numFmtId="0">
      <sharedItems count="5">
        <s v="COD"/>
        <s v="Credit Card"/>
        <s v="Debit Card"/>
        <s v="UPI"/>
        <s v="Wallet"/>
      </sharedItems>
    </cacheField>
    <cacheField name="Channel" numFmtId="0">
      <sharedItems count="2">
        <s v="Website"/>
        <s v="Mobile App"/>
      </sharedItems>
    </cacheField>
    <cacheField name="OrderAmount" numFmtId="0">
      <sharedItems containsSemiMixedTypes="0" containsString="0" containsNumber="1" minValue="144.94999999999999" maxValue="44565.78"/>
    </cacheField>
    <cacheField name="month" numFmtId="0">
      <sharedItems count="12">
        <s v="Nov"/>
        <s v="Jan"/>
        <s v="Aug"/>
        <s v="Sep"/>
        <s v="Dec"/>
        <s v="Oct"/>
        <s v="Jul"/>
        <s v="Mar"/>
        <s v="Apr"/>
        <s v="May"/>
        <s v="Feb"/>
        <s v="Jun"/>
      </sharedItems>
    </cacheField>
    <cacheField name="sales bucket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00">
  <r>
    <x v="0"/>
    <d v="2024-11-29T00:00:00"/>
    <x v="0"/>
    <s v="Wall Clock"/>
    <x v="0"/>
    <n v="1"/>
    <n v="718.62"/>
    <n v="0"/>
    <x v="0"/>
    <x v="0"/>
    <x v="0"/>
    <n v="718.62"/>
    <x v="0"/>
    <s v="low"/>
  </r>
  <r>
    <x v="1"/>
    <d v="2024-01-31T00:00:00"/>
    <x v="1"/>
    <s v="T-Shirt"/>
    <x v="0"/>
    <n v="5"/>
    <n v="1121.8499999999999"/>
    <n v="0.1"/>
    <x v="1"/>
    <x v="1"/>
    <x v="0"/>
    <n v="5048.32"/>
    <x v="1"/>
    <s v="low"/>
  </r>
  <r>
    <x v="2"/>
    <d v="2024-08-02T00:00:00"/>
    <x v="2"/>
    <s v="Notebook"/>
    <x v="1"/>
    <n v="2"/>
    <n v="4394.38"/>
    <n v="0.1"/>
    <x v="2"/>
    <x v="2"/>
    <x v="0"/>
    <n v="7909.88"/>
    <x v="2"/>
    <s v="low"/>
  </r>
  <r>
    <x v="3"/>
    <d v="2024-11-12T00:00:00"/>
    <x v="2"/>
    <s v="Novel"/>
    <x v="2"/>
    <n v="2"/>
    <n v="4046.85"/>
    <n v="0.2"/>
    <x v="0"/>
    <x v="1"/>
    <x v="1"/>
    <n v="6474.96"/>
    <x v="0"/>
    <s v="low"/>
  </r>
  <r>
    <x v="4"/>
    <d v="2024-09-25T00:00:00"/>
    <x v="3"/>
    <s v="Phone Cover"/>
    <x v="1"/>
    <n v="4"/>
    <n v="7019.83"/>
    <n v="0.25"/>
    <x v="0"/>
    <x v="2"/>
    <x v="1"/>
    <n v="21059.49"/>
    <x v="3"/>
    <s v="high"/>
  </r>
  <r>
    <x v="5"/>
    <d v="2024-12-08T00:00:00"/>
    <x v="4"/>
    <s v="Hair Oil"/>
    <x v="2"/>
    <n v="1"/>
    <n v="6151.88"/>
    <n v="0.15"/>
    <x v="0"/>
    <x v="3"/>
    <x v="1"/>
    <n v="5229.1000000000004"/>
    <x v="4"/>
    <s v="low"/>
  </r>
  <r>
    <x v="6"/>
    <d v="2024-12-25T00:00:00"/>
    <x v="4"/>
    <s v="Face Wash"/>
    <x v="2"/>
    <n v="3"/>
    <n v="5229.96"/>
    <n v="0.25"/>
    <x v="0"/>
    <x v="2"/>
    <x v="1"/>
    <n v="11767.41"/>
    <x v="4"/>
    <s v="medium"/>
  </r>
  <r>
    <x v="7"/>
    <d v="2024-01-31T00:00:00"/>
    <x v="2"/>
    <s v="Novel"/>
    <x v="3"/>
    <n v="2"/>
    <n v="6180.63"/>
    <n v="0.05"/>
    <x v="1"/>
    <x v="0"/>
    <x v="1"/>
    <n v="11743.2"/>
    <x v="1"/>
    <s v="medium"/>
  </r>
  <r>
    <x v="8"/>
    <d v="2024-08-08T00:00:00"/>
    <x v="2"/>
    <s v="Comic"/>
    <x v="4"/>
    <n v="5"/>
    <n v="2335.61"/>
    <n v="0.2"/>
    <x v="0"/>
    <x v="1"/>
    <x v="1"/>
    <n v="9342.44"/>
    <x v="2"/>
    <s v="low"/>
  </r>
  <r>
    <x v="9"/>
    <d v="2024-10-28T00:00:00"/>
    <x v="1"/>
    <s v="T-Shirt"/>
    <x v="3"/>
    <n v="2"/>
    <n v="2212.56"/>
    <n v="0"/>
    <x v="0"/>
    <x v="4"/>
    <x v="0"/>
    <n v="4425.12"/>
    <x v="5"/>
    <s v="low"/>
  </r>
  <r>
    <x v="10"/>
    <d v="2024-07-22T00:00:00"/>
    <x v="4"/>
    <s v="Sunscreen"/>
    <x v="0"/>
    <n v="4"/>
    <n v="3243.84"/>
    <n v="0.25"/>
    <x v="1"/>
    <x v="3"/>
    <x v="1"/>
    <n v="9731.52"/>
    <x v="6"/>
    <s v="low"/>
  </r>
  <r>
    <x v="11"/>
    <d v="2024-01-01T00:00:00"/>
    <x v="2"/>
    <s v="Novel"/>
    <x v="5"/>
    <n v="5"/>
    <n v="1337.43"/>
    <n v="0"/>
    <x v="0"/>
    <x v="2"/>
    <x v="1"/>
    <n v="6687.15"/>
    <x v="1"/>
    <s v="low"/>
  </r>
  <r>
    <x v="12"/>
    <d v="2024-03-03T00:00:00"/>
    <x v="2"/>
    <s v="Comic"/>
    <x v="3"/>
    <n v="1"/>
    <n v="6814.15"/>
    <n v="0.25"/>
    <x v="3"/>
    <x v="2"/>
    <x v="1"/>
    <n v="5110.6099999999997"/>
    <x v="7"/>
    <s v="low"/>
  </r>
  <r>
    <x v="13"/>
    <d v="2024-04-15T00:00:00"/>
    <x v="1"/>
    <s v="Handbag"/>
    <x v="2"/>
    <n v="5"/>
    <n v="2989.76"/>
    <n v="0"/>
    <x v="2"/>
    <x v="4"/>
    <x v="1"/>
    <n v="14948.8"/>
    <x v="8"/>
    <s v="medium"/>
  </r>
  <r>
    <x v="14"/>
    <d v="2024-09-29T00:00:00"/>
    <x v="1"/>
    <s v="Jeans"/>
    <x v="6"/>
    <n v="5"/>
    <n v="6265.58"/>
    <n v="0.15"/>
    <x v="1"/>
    <x v="1"/>
    <x v="1"/>
    <n v="26628.720000000001"/>
    <x v="3"/>
    <s v="high"/>
  </r>
  <r>
    <x v="15"/>
    <d v="2024-07-01T00:00:00"/>
    <x v="1"/>
    <s v="Kurti"/>
    <x v="3"/>
    <n v="6"/>
    <n v="377.49"/>
    <n v="0"/>
    <x v="0"/>
    <x v="2"/>
    <x v="1"/>
    <n v="2264.94"/>
    <x v="6"/>
    <s v="low"/>
  </r>
  <r>
    <x v="16"/>
    <d v="2024-04-26T00:00:00"/>
    <x v="3"/>
    <s v="Power Bank"/>
    <x v="5"/>
    <n v="4"/>
    <n v="1694.14"/>
    <n v="0.1"/>
    <x v="3"/>
    <x v="2"/>
    <x v="0"/>
    <n v="6098.9"/>
    <x v="8"/>
    <s v="low"/>
  </r>
  <r>
    <x v="17"/>
    <d v="2024-09-01T00:00:00"/>
    <x v="3"/>
    <s v="Bluetooth Speaker"/>
    <x v="6"/>
    <n v="2"/>
    <n v="3556.31"/>
    <n v="0.15"/>
    <x v="0"/>
    <x v="3"/>
    <x v="1"/>
    <n v="6045.73"/>
    <x v="3"/>
    <s v="low"/>
  </r>
  <r>
    <x v="18"/>
    <d v="2024-03-18T00:00:00"/>
    <x v="1"/>
    <s v="Kurti"/>
    <x v="2"/>
    <n v="5"/>
    <n v="7253.09"/>
    <n v="0.05"/>
    <x v="2"/>
    <x v="4"/>
    <x v="1"/>
    <n v="34452.18"/>
    <x v="7"/>
    <s v="high"/>
  </r>
  <r>
    <x v="19"/>
    <d v="2024-09-26T00:00:00"/>
    <x v="3"/>
    <s v="Earbuds"/>
    <x v="5"/>
    <n v="6"/>
    <n v="7478.95"/>
    <n v="0.2"/>
    <x v="0"/>
    <x v="1"/>
    <x v="1"/>
    <n v="35898.959999999999"/>
    <x v="3"/>
    <s v="high"/>
  </r>
  <r>
    <x v="20"/>
    <d v="2024-03-08T00:00:00"/>
    <x v="0"/>
    <s v="Curtain"/>
    <x v="0"/>
    <n v="1"/>
    <n v="7293.63"/>
    <n v="0.15"/>
    <x v="3"/>
    <x v="4"/>
    <x v="1"/>
    <n v="6199.59"/>
    <x v="7"/>
    <s v="low"/>
  </r>
  <r>
    <x v="21"/>
    <d v="2024-08-13T00:00:00"/>
    <x v="2"/>
    <s v="Notebook"/>
    <x v="2"/>
    <n v="2"/>
    <n v="4927.1499999999996"/>
    <n v="0.05"/>
    <x v="0"/>
    <x v="4"/>
    <x v="1"/>
    <n v="9361.58"/>
    <x v="2"/>
    <s v="low"/>
  </r>
  <r>
    <x v="22"/>
    <d v="2024-05-07T00:00:00"/>
    <x v="3"/>
    <s v="Phone Cover"/>
    <x v="2"/>
    <n v="2"/>
    <n v="2323.8000000000002"/>
    <n v="0"/>
    <x v="2"/>
    <x v="2"/>
    <x v="1"/>
    <n v="4647.6000000000004"/>
    <x v="9"/>
    <s v="low"/>
  </r>
  <r>
    <x v="23"/>
    <d v="2024-09-16T00:00:00"/>
    <x v="0"/>
    <s v="Table Lamp"/>
    <x v="3"/>
    <n v="2"/>
    <n v="5638.86"/>
    <n v="0.1"/>
    <x v="2"/>
    <x v="0"/>
    <x v="1"/>
    <n v="10149.950000000001"/>
    <x v="3"/>
    <s v="medium"/>
  </r>
  <r>
    <x v="24"/>
    <d v="2024-08-07T00:00:00"/>
    <x v="0"/>
    <s v="Bedsheet"/>
    <x v="6"/>
    <n v="1"/>
    <n v="1819.61"/>
    <n v="0.1"/>
    <x v="0"/>
    <x v="1"/>
    <x v="1"/>
    <n v="1637.65"/>
    <x v="2"/>
    <s v="low"/>
  </r>
  <r>
    <x v="25"/>
    <d v="2024-02-18T00:00:00"/>
    <x v="1"/>
    <s v="Sneakers"/>
    <x v="6"/>
    <n v="4"/>
    <n v="7096.72"/>
    <n v="0.05"/>
    <x v="1"/>
    <x v="2"/>
    <x v="1"/>
    <n v="26967.54"/>
    <x v="10"/>
    <s v="high"/>
  </r>
  <r>
    <x v="26"/>
    <d v="2024-02-17T00:00:00"/>
    <x v="1"/>
    <s v="Jeans"/>
    <x v="7"/>
    <n v="6"/>
    <n v="3022.73"/>
    <n v="0.15"/>
    <x v="2"/>
    <x v="2"/>
    <x v="0"/>
    <n v="15415.92"/>
    <x v="10"/>
    <s v="medium"/>
  </r>
  <r>
    <x v="27"/>
    <d v="2024-02-13T00:00:00"/>
    <x v="3"/>
    <s v="Power Bank"/>
    <x v="5"/>
    <n v="3"/>
    <n v="2284.58"/>
    <n v="0.05"/>
    <x v="0"/>
    <x v="2"/>
    <x v="1"/>
    <n v="6511.05"/>
    <x v="10"/>
    <s v="low"/>
  </r>
  <r>
    <x v="28"/>
    <d v="2024-12-24T00:00:00"/>
    <x v="1"/>
    <s v="Handbag"/>
    <x v="3"/>
    <n v="3"/>
    <n v="852.28"/>
    <n v="0"/>
    <x v="1"/>
    <x v="3"/>
    <x v="1"/>
    <n v="2556.84"/>
    <x v="4"/>
    <s v="low"/>
  </r>
  <r>
    <x v="29"/>
    <d v="2024-02-04T00:00:00"/>
    <x v="3"/>
    <s v="Phone Cover"/>
    <x v="6"/>
    <n v="3"/>
    <n v="6922.78"/>
    <n v="0.25"/>
    <x v="0"/>
    <x v="1"/>
    <x v="0"/>
    <n v="15576.26"/>
    <x v="10"/>
    <s v="medium"/>
  </r>
  <r>
    <x v="30"/>
    <d v="2024-03-23T00:00:00"/>
    <x v="2"/>
    <s v="Notebook"/>
    <x v="5"/>
    <n v="3"/>
    <n v="545.48"/>
    <n v="0.1"/>
    <x v="0"/>
    <x v="1"/>
    <x v="1"/>
    <n v="1472.8"/>
    <x v="7"/>
    <s v="low"/>
  </r>
  <r>
    <x v="31"/>
    <d v="2024-01-19T00:00:00"/>
    <x v="0"/>
    <s v="Bedsheet"/>
    <x v="1"/>
    <n v="1"/>
    <n v="294.70999999999998"/>
    <n v="0.1"/>
    <x v="2"/>
    <x v="0"/>
    <x v="1"/>
    <n v="265.24"/>
    <x v="1"/>
    <s v="low"/>
  </r>
  <r>
    <x v="32"/>
    <d v="2024-12-18T00:00:00"/>
    <x v="2"/>
    <s v="Guide Book"/>
    <x v="1"/>
    <n v="2"/>
    <n v="7862.16"/>
    <n v="0.15"/>
    <x v="0"/>
    <x v="2"/>
    <x v="0"/>
    <n v="13365.67"/>
    <x v="4"/>
    <s v="medium"/>
  </r>
  <r>
    <x v="33"/>
    <d v="2024-11-16T00:00:00"/>
    <x v="1"/>
    <s v="T-Shirt"/>
    <x v="5"/>
    <n v="6"/>
    <n v="7056.86"/>
    <n v="0.2"/>
    <x v="0"/>
    <x v="2"/>
    <x v="1"/>
    <n v="33872.93"/>
    <x v="0"/>
    <s v="high"/>
  </r>
  <r>
    <x v="34"/>
    <d v="2024-04-04T00:00:00"/>
    <x v="0"/>
    <s v="Bedsheet"/>
    <x v="3"/>
    <n v="2"/>
    <n v="2261.94"/>
    <n v="0"/>
    <x v="0"/>
    <x v="3"/>
    <x v="1"/>
    <n v="4523.88"/>
    <x v="8"/>
    <s v="low"/>
  </r>
  <r>
    <x v="35"/>
    <d v="2024-01-01T00:00:00"/>
    <x v="1"/>
    <s v="Jeans"/>
    <x v="4"/>
    <n v="3"/>
    <n v="3145.77"/>
    <n v="0.25"/>
    <x v="0"/>
    <x v="2"/>
    <x v="0"/>
    <n v="7077.9825000000001"/>
    <x v="1"/>
    <s v="low"/>
  </r>
  <r>
    <x v="36"/>
    <d v="2024-07-20T00:00:00"/>
    <x v="1"/>
    <s v="Sneakers"/>
    <x v="2"/>
    <n v="1"/>
    <n v="2502.2199999999998"/>
    <n v="0.1"/>
    <x v="0"/>
    <x v="4"/>
    <x v="1"/>
    <n v="2252"/>
    <x v="6"/>
    <s v="low"/>
  </r>
  <r>
    <x v="37"/>
    <d v="2024-05-25T00:00:00"/>
    <x v="0"/>
    <s v="Table Lamp"/>
    <x v="4"/>
    <n v="6"/>
    <n v="5006.8500000000004"/>
    <n v="0.05"/>
    <x v="0"/>
    <x v="4"/>
    <x v="1"/>
    <n v="28539.05"/>
    <x v="9"/>
    <s v="high"/>
  </r>
  <r>
    <x v="38"/>
    <d v="2024-12-17T00:00:00"/>
    <x v="2"/>
    <s v="Diary"/>
    <x v="2"/>
    <n v="5"/>
    <n v="6414.04"/>
    <n v="0.1"/>
    <x v="0"/>
    <x v="0"/>
    <x v="0"/>
    <n v="28863.18"/>
    <x v="4"/>
    <s v="high"/>
  </r>
  <r>
    <x v="39"/>
    <d v="2024-09-07T00:00:00"/>
    <x v="3"/>
    <s v="Phone Cover"/>
    <x v="6"/>
    <n v="3"/>
    <n v="176.02"/>
    <n v="0"/>
    <x v="1"/>
    <x v="0"/>
    <x v="1"/>
    <n v="528.05999999999995"/>
    <x v="3"/>
    <s v="low"/>
  </r>
  <r>
    <x v="40"/>
    <d v="2024-04-15T00:00:00"/>
    <x v="3"/>
    <s v="Smartwatch"/>
    <x v="6"/>
    <n v="2"/>
    <n v="5957.65"/>
    <n v="0.25"/>
    <x v="3"/>
    <x v="3"/>
    <x v="1"/>
    <n v="8936.4699999999993"/>
    <x v="8"/>
    <s v="low"/>
  </r>
  <r>
    <x v="41"/>
    <d v="2024-06-18T00:00:00"/>
    <x v="3"/>
    <s v="Phone Cover"/>
    <x v="4"/>
    <n v="3"/>
    <n v="5264.54"/>
    <n v="0.1"/>
    <x v="2"/>
    <x v="3"/>
    <x v="1"/>
    <n v="14214.26"/>
    <x v="11"/>
    <s v="medium"/>
  </r>
  <r>
    <x v="42"/>
    <d v="2024-08-25T00:00:00"/>
    <x v="4"/>
    <s v="Perfume"/>
    <x v="1"/>
    <n v="4"/>
    <n v="3810.76"/>
    <n v="0"/>
    <x v="2"/>
    <x v="0"/>
    <x v="0"/>
    <n v="15243.04"/>
    <x v="2"/>
    <s v="medium"/>
  </r>
  <r>
    <x v="43"/>
    <d v="2024-07-17T00:00:00"/>
    <x v="2"/>
    <s v="Guide Book"/>
    <x v="1"/>
    <n v="2"/>
    <n v="7344.96"/>
    <n v="0.1"/>
    <x v="0"/>
    <x v="1"/>
    <x v="1"/>
    <n v="13220.93"/>
    <x v="6"/>
    <s v="medium"/>
  </r>
  <r>
    <x v="44"/>
    <d v="2024-09-11T00:00:00"/>
    <x v="3"/>
    <s v="Smartwatch"/>
    <x v="6"/>
    <n v="4"/>
    <n v="3243.53"/>
    <n v="0.05"/>
    <x v="0"/>
    <x v="0"/>
    <x v="1"/>
    <n v="12325.41"/>
    <x v="3"/>
    <s v="medium"/>
  </r>
  <r>
    <x v="45"/>
    <d v="2024-06-18T00:00:00"/>
    <x v="4"/>
    <s v="Perfume"/>
    <x v="5"/>
    <n v="1"/>
    <n v="2697.7"/>
    <n v="0.15"/>
    <x v="3"/>
    <x v="2"/>
    <x v="1"/>
    <n v="2293.04"/>
    <x v="11"/>
    <s v="low"/>
  </r>
  <r>
    <x v="46"/>
    <d v="2024-07-18T00:00:00"/>
    <x v="0"/>
    <s v="Bedsheet"/>
    <x v="0"/>
    <n v="5"/>
    <n v="749.75"/>
    <n v="0.2"/>
    <x v="0"/>
    <x v="1"/>
    <x v="1"/>
    <n v="2999"/>
    <x v="6"/>
    <s v="low"/>
  </r>
  <r>
    <x v="47"/>
    <d v="2024-04-07T00:00:00"/>
    <x v="0"/>
    <s v="Table Lamp"/>
    <x v="7"/>
    <n v="3"/>
    <n v="6313.37"/>
    <n v="0.2"/>
    <x v="0"/>
    <x v="4"/>
    <x v="1"/>
    <n v="15152.09"/>
    <x v="8"/>
    <s v="medium"/>
  </r>
  <r>
    <x v="48"/>
    <d v="2024-08-18T00:00:00"/>
    <x v="3"/>
    <s v="Earbuds"/>
    <x v="0"/>
    <n v="5"/>
    <n v="6058.44"/>
    <n v="0.1"/>
    <x v="3"/>
    <x v="2"/>
    <x v="1"/>
    <n v="27262.98"/>
    <x v="2"/>
    <s v="high"/>
  </r>
  <r>
    <x v="49"/>
    <d v="2024-07-26T00:00:00"/>
    <x v="0"/>
    <s v="Cushion"/>
    <x v="1"/>
    <n v="6"/>
    <n v="2023.52"/>
    <n v="0.25"/>
    <x v="2"/>
    <x v="4"/>
    <x v="1"/>
    <n v="9105.84"/>
    <x v="6"/>
    <s v="low"/>
  </r>
  <r>
    <x v="50"/>
    <d v="2024-06-19T00:00:00"/>
    <x v="2"/>
    <s v="Notebook"/>
    <x v="3"/>
    <n v="4"/>
    <n v="3505.27"/>
    <n v="0.1"/>
    <x v="0"/>
    <x v="2"/>
    <x v="1"/>
    <n v="12618.97"/>
    <x v="11"/>
    <s v="medium"/>
  </r>
  <r>
    <x v="51"/>
    <d v="2024-07-30T00:00:00"/>
    <x v="3"/>
    <s v="Bluetooth Speaker"/>
    <x v="0"/>
    <n v="6"/>
    <n v="4264.72"/>
    <n v="0.2"/>
    <x v="0"/>
    <x v="1"/>
    <x v="1"/>
    <n v="20470.66"/>
    <x v="6"/>
    <s v="high"/>
  </r>
  <r>
    <x v="52"/>
    <d v="2024-07-15T00:00:00"/>
    <x v="3"/>
    <s v="Smartwatch"/>
    <x v="6"/>
    <n v="4"/>
    <n v="5219.46"/>
    <n v="0.2"/>
    <x v="0"/>
    <x v="0"/>
    <x v="1"/>
    <n v="16702.27"/>
    <x v="6"/>
    <s v="medium"/>
  </r>
  <r>
    <x v="53"/>
    <d v="2024-09-27T00:00:00"/>
    <x v="3"/>
    <s v="Earbuds"/>
    <x v="0"/>
    <n v="4"/>
    <n v="7782.09"/>
    <n v="0.1"/>
    <x v="0"/>
    <x v="0"/>
    <x v="0"/>
    <n v="28015.52"/>
    <x v="3"/>
    <s v="high"/>
  </r>
  <r>
    <x v="54"/>
    <d v="2024-03-05T00:00:00"/>
    <x v="2"/>
    <s v="Novel"/>
    <x v="2"/>
    <n v="2"/>
    <n v="4619.6499999999996"/>
    <n v="0"/>
    <x v="1"/>
    <x v="0"/>
    <x v="0"/>
    <n v="9239.2999999999993"/>
    <x v="7"/>
    <s v="low"/>
  </r>
  <r>
    <x v="55"/>
    <d v="2024-09-25T00:00:00"/>
    <x v="3"/>
    <s v="Earbuds"/>
    <x v="1"/>
    <n v="5"/>
    <n v="1654.86"/>
    <n v="0.1"/>
    <x v="0"/>
    <x v="2"/>
    <x v="1"/>
    <n v="7446.87"/>
    <x v="3"/>
    <s v="low"/>
  </r>
  <r>
    <x v="56"/>
    <d v="2024-10-07T00:00:00"/>
    <x v="1"/>
    <s v="Sneakers"/>
    <x v="6"/>
    <n v="2"/>
    <n v="379.85"/>
    <n v="0.2"/>
    <x v="1"/>
    <x v="0"/>
    <x v="0"/>
    <n v="607.76"/>
    <x v="5"/>
    <s v="low"/>
  </r>
  <r>
    <x v="57"/>
    <d v="2024-07-08T00:00:00"/>
    <x v="0"/>
    <s v="Wall Clock"/>
    <x v="0"/>
    <n v="2"/>
    <n v="4019.61"/>
    <n v="0.15"/>
    <x v="1"/>
    <x v="4"/>
    <x v="0"/>
    <n v="6833.34"/>
    <x v="6"/>
    <s v="low"/>
  </r>
  <r>
    <x v="58"/>
    <d v="2024-06-08T00:00:00"/>
    <x v="1"/>
    <s v="Sneakers"/>
    <x v="6"/>
    <n v="2"/>
    <n v="1961.85"/>
    <n v="0.1"/>
    <x v="0"/>
    <x v="1"/>
    <x v="1"/>
    <n v="3531.33"/>
    <x v="11"/>
    <s v="low"/>
  </r>
  <r>
    <x v="59"/>
    <d v="2024-10-31T00:00:00"/>
    <x v="4"/>
    <s v="Hair Oil"/>
    <x v="2"/>
    <n v="2"/>
    <n v="7387.1"/>
    <n v="0"/>
    <x v="0"/>
    <x v="1"/>
    <x v="1"/>
    <n v="14774.2"/>
    <x v="5"/>
    <s v="medium"/>
  </r>
  <r>
    <x v="60"/>
    <d v="2024-02-10T00:00:00"/>
    <x v="4"/>
    <s v="Perfume"/>
    <x v="5"/>
    <n v="2"/>
    <n v="2734.56"/>
    <n v="0.05"/>
    <x v="1"/>
    <x v="0"/>
    <x v="1"/>
    <n v="5195.66"/>
    <x v="10"/>
    <s v="low"/>
  </r>
  <r>
    <x v="61"/>
    <d v="2024-02-25T00:00:00"/>
    <x v="0"/>
    <s v="Table Lamp"/>
    <x v="4"/>
    <n v="1"/>
    <n v="764.2"/>
    <n v="0"/>
    <x v="0"/>
    <x v="0"/>
    <x v="1"/>
    <n v="764.2"/>
    <x v="10"/>
    <s v="low"/>
  </r>
  <r>
    <x v="62"/>
    <d v="2024-01-26T00:00:00"/>
    <x v="0"/>
    <s v="Table Lamp"/>
    <x v="5"/>
    <n v="6"/>
    <n v="3866.69"/>
    <n v="0.15"/>
    <x v="2"/>
    <x v="3"/>
    <x v="1"/>
    <n v="19720.12"/>
    <x v="1"/>
    <s v="medium"/>
  </r>
  <r>
    <x v="63"/>
    <d v="2024-07-11T00:00:00"/>
    <x v="1"/>
    <s v="Sneakers"/>
    <x v="2"/>
    <n v="1"/>
    <n v="3792.8"/>
    <n v="0"/>
    <x v="0"/>
    <x v="2"/>
    <x v="0"/>
    <n v="3792.8"/>
    <x v="6"/>
    <s v="low"/>
  </r>
  <r>
    <x v="64"/>
    <d v="2024-06-01T00:00:00"/>
    <x v="0"/>
    <s v="Cushion"/>
    <x v="1"/>
    <n v="1"/>
    <n v="5814.34"/>
    <n v="0"/>
    <x v="0"/>
    <x v="0"/>
    <x v="1"/>
    <n v="5814.34"/>
    <x v="11"/>
    <s v="low"/>
  </r>
  <r>
    <x v="65"/>
    <d v="2024-09-11T00:00:00"/>
    <x v="4"/>
    <s v="Hair Oil"/>
    <x v="4"/>
    <n v="2"/>
    <n v="218.34"/>
    <n v="0.1"/>
    <x v="1"/>
    <x v="2"/>
    <x v="0"/>
    <n v="393.01"/>
    <x v="3"/>
    <s v="low"/>
  </r>
  <r>
    <x v="66"/>
    <d v="2024-03-22T00:00:00"/>
    <x v="2"/>
    <s v="Notebook"/>
    <x v="0"/>
    <n v="2"/>
    <n v="3350.89"/>
    <n v="0"/>
    <x v="3"/>
    <x v="3"/>
    <x v="1"/>
    <n v="6701.78"/>
    <x v="7"/>
    <s v="low"/>
  </r>
  <r>
    <x v="67"/>
    <d v="2024-02-19T00:00:00"/>
    <x v="2"/>
    <s v="Novel"/>
    <x v="6"/>
    <n v="4"/>
    <n v="4063.03"/>
    <n v="0.25"/>
    <x v="0"/>
    <x v="4"/>
    <x v="0"/>
    <n v="12189.09"/>
    <x v="10"/>
    <s v="medium"/>
  </r>
  <r>
    <x v="68"/>
    <d v="2024-10-17T00:00:00"/>
    <x v="0"/>
    <s v="Cushion"/>
    <x v="1"/>
    <n v="3"/>
    <n v="3077.82"/>
    <n v="0.1"/>
    <x v="0"/>
    <x v="4"/>
    <x v="1"/>
    <n v="8310.11"/>
    <x v="5"/>
    <s v="low"/>
  </r>
  <r>
    <x v="69"/>
    <d v="2024-05-08T00:00:00"/>
    <x v="0"/>
    <s v="Bedsheet"/>
    <x v="0"/>
    <n v="2"/>
    <n v="4132.5"/>
    <n v="0.1"/>
    <x v="1"/>
    <x v="0"/>
    <x v="1"/>
    <n v="7438.5"/>
    <x v="9"/>
    <s v="low"/>
  </r>
  <r>
    <x v="70"/>
    <d v="2024-05-30T00:00:00"/>
    <x v="4"/>
    <s v="Perfume"/>
    <x v="2"/>
    <n v="2"/>
    <n v="1085.8499999999999"/>
    <n v="0.1"/>
    <x v="2"/>
    <x v="1"/>
    <x v="1"/>
    <n v="1954.53"/>
    <x v="9"/>
    <s v="low"/>
  </r>
  <r>
    <x v="71"/>
    <d v="2024-02-24T00:00:00"/>
    <x v="2"/>
    <s v="Comic"/>
    <x v="2"/>
    <n v="6"/>
    <n v="4829.75"/>
    <n v="0.15"/>
    <x v="0"/>
    <x v="3"/>
    <x v="1"/>
    <n v="24631.72"/>
    <x v="10"/>
    <s v="high"/>
  </r>
  <r>
    <x v="72"/>
    <d v="2024-12-13T00:00:00"/>
    <x v="3"/>
    <s v="Smartwatch"/>
    <x v="0"/>
    <n v="3"/>
    <n v="1603.39"/>
    <n v="0.1"/>
    <x v="0"/>
    <x v="3"/>
    <x v="1"/>
    <n v="4329.1499999999996"/>
    <x v="4"/>
    <s v="low"/>
  </r>
  <r>
    <x v="73"/>
    <d v="2024-11-30T00:00:00"/>
    <x v="2"/>
    <s v="Notebook"/>
    <x v="5"/>
    <n v="2"/>
    <n v="3272.51"/>
    <n v="0.1"/>
    <x v="3"/>
    <x v="4"/>
    <x v="1"/>
    <n v="5890.52"/>
    <x v="0"/>
    <s v="low"/>
  </r>
  <r>
    <x v="74"/>
    <d v="2024-07-05T00:00:00"/>
    <x v="4"/>
    <s v="Hair Oil"/>
    <x v="2"/>
    <n v="6"/>
    <n v="1698.03"/>
    <n v="0.2"/>
    <x v="0"/>
    <x v="3"/>
    <x v="1"/>
    <n v="8150.54"/>
    <x v="6"/>
    <s v="low"/>
  </r>
  <r>
    <x v="75"/>
    <d v="2024-03-24T00:00:00"/>
    <x v="2"/>
    <s v="Comic"/>
    <x v="3"/>
    <n v="2"/>
    <n v="266.45"/>
    <n v="0.05"/>
    <x v="1"/>
    <x v="4"/>
    <x v="1"/>
    <n v="506.25"/>
    <x v="7"/>
    <s v="low"/>
  </r>
  <r>
    <x v="76"/>
    <d v="2024-03-23T00:00:00"/>
    <x v="1"/>
    <s v="Jeans"/>
    <x v="1"/>
    <n v="5"/>
    <n v="1498.51"/>
    <n v="0"/>
    <x v="0"/>
    <x v="2"/>
    <x v="1"/>
    <n v="7492.55"/>
    <x v="7"/>
    <s v="low"/>
  </r>
  <r>
    <x v="77"/>
    <d v="2024-01-28T00:00:00"/>
    <x v="3"/>
    <s v="Bluetooth Speaker"/>
    <x v="7"/>
    <n v="5"/>
    <n v="7420.42"/>
    <n v="0.2"/>
    <x v="0"/>
    <x v="1"/>
    <x v="1"/>
    <n v="29681.68"/>
    <x v="1"/>
    <s v="high"/>
  </r>
  <r>
    <x v="78"/>
    <d v="2024-04-03T00:00:00"/>
    <x v="2"/>
    <s v="Notebook"/>
    <x v="3"/>
    <n v="5"/>
    <n v="1862.37"/>
    <n v="0.2"/>
    <x v="2"/>
    <x v="1"/>
    <x v="0"/>
    <n v="7449.48"/>
    <x v="8"/>
    <s v="low"/>
  </r>
  <r>
    <x v="79"/>
    <d v="2024-03-01T00:00:00"/>
    <x v="2"/>
    <s v="Novel"/>
    <x v="7"/>
    <n v="4"/>
    <n v="4856.2299999999996"/>
    <n v="0.1"/>
    <x v="1"/>
    <x v="0"/>
    <x v="1"/>
    <n v="17482.43"/>
    <x v="7"/>
    <s v="medium"/>
  </r>
  <r>
    <x v="80"/>
    <d v="2024-11-12T00:00:00"/>
    <x v="1"/>
    <s v="T-Shirt"/>
    <x v="2"/>
    <n v="4"/>
    <n v="3802.39"/>
    <n v="0.25"/>
    <x v="2"/>
    <x v="3"/>
    <x v="0"/>
    <n v="11407.17"/>
    <x v="0"/>
    <s v="medium"/>
  </r>
  <r>
    <x v="81"/>
    <d v="2024-07-06T00:00:00"/>
    <x v="1"/>
    <s v="Jeans"/>
    <x v="0"/>
    <n v="1"/>
    <n v="6447.91"/>
    <n v="0"/>
    <x v="0"/>
    <x v="4"/>
    <x v="0"/>
    <n v="6447.91"/>
    <x v="6"/>
    <s v="low"/>
  </r>
  <r>
    <x v="82"/>
    <d v="2024-11-30T00:00:00"/>
    <x v="3"/>
    <s v="Phone Cover"/>
    <x v="0"/>
    <n v="2"/>
    <n v="352.97"/>
    <n v="0"/>
    <x v="2"/>
    <x v="0"/>
    <x v="1"/>
    <n v="705.94"/>
    <x v="0"/>
    <s v="low"/>
  </r>
  <r>
    <x v="83"/>
    <d v="2024-06-28T00:00:00"/>
    <x v="1"/>
    <s v="Kurti"/>
    <x v="5"/>
    <n v="5"/>
    <n v="6086.01"/>
    <n v="0.05"/>
    <x v="0"/>
    <x v="4"/>
    <x v="1"/>
    <n v="28908.55"/>
    <x v="11"/>
    <s v="high"/>
  </r>
  <r>
    <x v="84"/>
    <d v="2024-11-11T00:00:00"/>
    <x v="1"/>
    <s v="Handbag"/>
    <x v="1"/>
    <n v="5"/>
    <n v="2013.58"/>
    <n v="0.15"/>
    <x v="0"/>
    <x v="2"/>
    <x v="1"/>
    <n v="8557.7199999999993"/>
    <x v="0"/>
    <s v="low"/>
  </r>
  <r>
    <x v="85"/>
    <d v="2024-09-28T00:00:00"/>
    <x v="1"/>
    <s v="Jeans"/>
    <x v="5"/>
    <n v="1"/>
    <n v="5145.1000000000004"/>
    <n v="0.15"/>
    <x v="3"/>
    <x v="4"/>
    <x v="1"/>
    <n v="4373.34"/>
    <x v="3"/>
    <s v="low"/>
  </r>
  <r>
    <x v="86"/>
    <d v="2024-07-07T00:00:00"/>
    <x v="0"/>
    <s v="Cushion"/>
    <x v="0"/>
    <n v="5"/>
    <n v="1297.6300000000001"/>
    <n v="0.15"/>
    <x v="0"/>
    <x v="4"/>
    <x v="1"/>
    <n v="5514.93"/>
    <x v="6"/>
    <s v="low"/>
  </r>
  <r>
    <x v="87"/>
    <d v="2024-01-01T00:00:00"/>
    <x v="0"/>
    <s v="Curtain"/>
    <x v="7"/>
    <n v="6"/>
    <n v="415.28"/>
    <n v="0.05"/>
    <x v="0"/>
    <x v="1"/>
    <x v="1"/>
    <n v="2367.1"/>
    <x v="1"/>
    <s v="low"/>
  </r>
  <r>
    <x v="88"/>
    <d v="2024-01-12T00:00:00"/>
    <x v="1"/>
    <s v="Handbag"/>
    <x v="2"/>
    <n v="1"/>
    <n v="170.53"/>
    <n v="0.15"/>
    <x v="0"/>
    <x v="4"/>
    <x v="1"/>
    <n v="144.94999999999999"/>
    <x v="1"/>
    <s v="low"/>
  </r>
  <r>
    <x v="89"/>
    <d v="2024-03-22T00:00:00"/>
    <x v="1"/>
    <s v="Jeans"/>
    <x v="3"/>
    <n v="2"/>
    <n v="260.77999999999997"/>
    <n v="0.1"/>
    <x v="1"/>
    <x v="2"/>
    <x v="1"/>
    <n v="469.4"/>
    <x v="7"/>
    <s v="low"/>
  </r>
  <r>
    <x v="90"/>
    <d v="2024-11-26T00:00:00"/>
    <x v="0"/>
    <s v="Bedsheet"/>
    <x v="2"/>
    <n v="5"/>
    <n v="7157.51"/>
    <n v="0.25"/>
    <x v="2"/>
    <x v="3"/>
    <x v="0"/>
    <n v="26840.66"/>
    <x v="0"/>
    <s v="high"/>
  </r>
  <r>
    <x v="91"/>
    <d v="2024-04-05T00:00:00"/>
    <x v="2"/>
    <s v="Novel"/>
    <x v="0"/>
    <n v="2"/>
    <n v="1399.85"/>
    <n v="0"/>
    <x v="0"/>
    <x v="4"/>
    <x v="1"/>
    <n v="2799.7"/>
    <x v="8"/>
    <s v="low"/>
  </r>
  <r>
    <x v="92"/>
    <d v="2024-02-02T00:00:00"/>
    <x v="2"/>
    <s v="Notebook"/>
    <x v="1"/>
    <n v="3"/>
    <n v="5063.82"/>
    <n v="0.25"/>
    <x v="1"/>
    <x v="3"/>
    <x v="1"/>
    <n v="11393.59"/>
    <x v="10"/>
    <s v="medium"/>
  </r>
  <r>
    <x v="93"/>
    <d v="2024-05-13T00:00:00"/>
    <x v="1"/>
    <s v="Kurti"/>
    <x v="5"/>
    <n v="2"/>
    <n v="5205.5600000000004"/>
    <n v="0"/>
    <x v="0"/>
    <x v="3"/>
    <x v="1"/>
    <n v="10411.120000000001"/>
    <x v="9"/>
    <s v="medium"/>
  </r>
  <r>
    <x v="94"/>
    <d v="2024-05-31T00:00:00"/>
    <x v="2"/>
    <s v="Guide Book"/>
    <x v="1"/>
    <n v="6"/>
    <n v="7439.28"/>
    <n v="0.1"/>
    <x v="0"/>
    <x v="1"/>
    <x v="1"/>
    <n v="40172.11"/>
    <x v="9"/>
    <s v="high"/>
  </r>
  <r>
    <x v="95"/>
    <d v="2024-06-17T00:00:00"/>
    <x v="0"/>
    <s v="Wall Clock"/>
    <x v="0"/>
    <n v="5"/>
    <n v="2027.47"/>
    <n v="0.25"/>
    <x v="3"/>
    <x v="1"/>
    <x v="1"/>
    <n v="7603.01"/>
    <x v="11"/>
    <s v="low"/>
  </r>
  <r>
    <x v="96"/>
    <d v="2024-10-16T00:00:00"/>
    <x v="1"/>
    <s v="Sneakers"/>
    <x v="5"/>
    <n v="2"/>
    <n v="1285.07"/>
    <n v="0"/>
    <x v="0"/>
    <x v="3"/>
    <x v="0"/>
    <n v="2570.14"/>
    <x v="5"/>
    <s v="low"/>
  </r>
  <r>
    <x v="97"/>
    <d v="2024-12-22T00:00:00"/>
    <x v="3"/>
    <s v="Power Bank"/>
    <x v="2"/>
    <n v="1"/>
    <n v="5933.76"/>
    <n v="0"/>
    <x v="2"/>
    <x v="3"/>
    <x v="1"/>
    <n v="5933.76"/>
    <x v="4"/>
    <s v="low"/>
  </r>
  <r>
    <x v="98"/>
    <d v="2024-04-14T00:00:00"/>
    <x v="3"/>
    <s v="Power Bank"/>
    <x v="6"/>
    <n v="1"/>
    <n v="415.81"/>
    <n v="0"/>
    <x v="1"/>
    <x v="1"/>
    <x v="1"/>
    <n v="415.81"/>
    <x v="8"/>
    <s v="low"/>
  </r>
  <r>
    <x v="99"/>
    <d v="2024-05-13T00:00:00"/>
    <x v="0"/>
    <s v="Cushion"/>
    <x v="0"/>
    <n v="1"/>
    <n v="2904.57"/>
    <n v="0.1"/>
    <x v="0"/>
    <x v="4"/>
    <x v="1"/>
    <n v="2614.11"/>
    <x v="9"/>
    <s v="low"/>
  </r>
  <r>
    <x v="100"/>
    <d v="2024-07-30T00:00:00"/>
    <x v="0"/>
    <s v="Curtain"/>
    <x v="2"/>
    <n v="1"/>
    <n v="3576.13"/>
    <n v="0"/>
    <x v="0"/>
    <x v="3"/>
    <x v="1"/>
    <n v="3576.13"/>
    <x v="6"/>
    <s v="low"/>
  </r>
  <r>
    <x v="101"/>
    <d v="2024-09-25T00:00:00"/>
    <x v="1"/>
    <s v="Sneakers"/>
    <x v="2"/>
    <n v="2"/>
    <n v="2413.4299999999998"/>
    <n v="0"/>
    <x v="0"/>
    <x v="0"/>
    <x v="1"/>
    <n v="4826.8599999999997"/>
    <x v="3"/>
    <s v="low"/>
  </r>
  <r>
    <x v="102"/>
    <d v="2024-05-25T00:00:00"/>
    <x v="2"/>
    <s v="Comic"/>
    <x v="4"/>
    <n v="2"/>
    <n v="7515.57"/>
    <n v="0.1"/>
    <x v="3"/>
    <x v="4"/>
    <x v="0"/>
    <n v="13528.03"/>
    <x v="9"/>
    <s v="medium"/>
  </r>
  <r>
    <x v="103"/>
    <d v="2024-07-24T00:00:00"/>
    <x v="0"/>
    <s v="Cushion"/>
    <x v="5"/>
    <n v="4"/>
    <n v="7150.96"/>
    <n v="0"/>
    <x v="3"/>
    <x v="4"/>
    <x v="1"/>
    <n v="28603.84"/>
    <x v="6"/>
    <s v="high"/>
  </r>
  <r>
    <x v="104"/>
    <d v="2024-03-05T00:00:00"/>
    <x v="4"/>
    <s v="Lipstick"/>
    <x v="3"/>
    <n v="5"/>
    <n v="4813.59"/>
    <n v="0"/>
    <x v="0"/>
    <x v="4"/>
    <x v="1"/>
    <n v="24067.95"/>
    <x v="7"/>
    <s v="high"/>
  </r>
  <r>
    <x v="105"/>
    <d v="2024-12-18T00:00:00"/>
    <x v="1"/>
    <s v="Sneakers"/>
    <x v="3"/>
    <n v="3"/>
    <n v="4696.4799999999996"/>
    <n v="0.05"/>
    <x v="0"/>
    <x v="2"/>
    <x v="1"/>
    <n v="13384.97"/>
    <x v="4"/>
    <s v="medium"/>
  </r>
  <r>
    <x v="106"/>
    <d v="2024-11-04T00:00:00"/>
    <x v="1"/>
    <s v="Kurti"/>
    <x v="7"/>
    <n v="5"/>
    <n v="2886.76"/>
    <n v="0.1"/>
    <x v="0"/>
    <x v="1"/>
    <x v="0"/>
    <n v="12990.42"/>
    <x v="0"/>
    <s v="medium"/>
  </r>
  <r>
    <x v="107"/>
    <d v="2024-03-16T00:00:00"/>
    <x v="1"/>
    <s v="Sneakers"/>
    <x v="4"/>
    <n v="3"/>
    <n v="5906.35"/>
    <n v="0.2"/>
    <x v="0"/>
    <x v="0"/>
    <x v="1"/>
    <n v="14175.24"/>
    <x v="7"/>
    <s v="medium"/>
  </r>
  <r>
    <x v="108"/>
    <d v="2024-08-11T00:00:00"/>
    <x v="3"/>
    <s v="Earbuds"/>
    <x v="0"/>
    <n v="6"/>
    <n v="1896.25"/>
    <n v="0.1"/>
    <x v="3"/>
    <x v="1"/>
    <x v="1"/>
    <n v="10239.75"/>
    <x v="2"/>
    <s v="medium"/>
  </r>
  <r>
    <x v="109"/>
    <d v="2024-04-27T00:00:00"/>
    <x v="2"/>
    <s v="Diary"/>
    <x v="0"/>
    <n v="6"/>
    <n v="5819.42"/>
    <n v="0.1"/>
    <x v="1"/>
    <x v="3"/>
    <x v="1"/>
    <n v="31424.87"/>
    <x v="8"/>
    <s v="high"/>
  </r>
  <r>
    <x v="110"/>
    <d v="2024-05-08T00:00:00"/>
    <x v="1"/>
    <s v="Sneakers"/>
    <x v="4"/>
    <n v="4"/>
    <n v="3939.54"/>
    <n v="0"/>
    <x v="2"/>
    <x v="2"/>
    <x v="0"/>
    <n v="15758.16"/>
    <x v="9"/>
    <s v="medium"/>
  </r>
  <r>
    <x v="111"/>
    <d v="2024-01-20T00:00:00"/>
    <x v="4"/>
    <s v="Hair Oil"/>
    <x v="5"/>
    <n v="3"/>
    <n v="4415.38"/>
    <n v="0.05"/>
    <x v="1"/>
    <x v="4"/>
    <x v="1"/>
    <n v="12583.83"/>
    <x v="1"/>
    <s v="medium"/>
  </r>
  <r>
    <x v="112"/>
    <d v="2024-09-19T00:00:00"/>
    <x v="2"/>
    <s v="Notebook"/>
    <x v="3"/>
    <n v="1"/>
    <n v="5168.2"/>
    <n v="0.15"/>
    <x v="2"/>
    <x v="1"/>
    <x v="1"/>
    <n v="4392.97"/>
    <x v="3"/>
    <s v="low"/>
  </r>
  <r>
    <x v="113"/>
    <d v="2024-11-22T00:00:00"/>
    <x v="2"/>
    <s v="Novel"/>
    <x v="7"/>
    <n v="1"/>
    <n v="2131.79"/>
    <n v="0.2"/>
    <x v="3"/>
    <x v="2"/>
    <x v="1"/>
    <n v="1705.43"/>
    <x v="0"/>
    <s v="low"/>
  </r>
  <r>
    <x v="114"/>
    <d v="2024-07-24T00:00:00"/>
    <x v="3"/>
    <s v="Power Bank"/>
    <x v="1"/>
    <n v="5"/>
    <n v="7776.28"/>
    <n v="0.2"/>
    <x v="3"/>
    <x v="1"/>
    <x v="1"/>
    <n v="31105.119999999999"/>
    <x v="6"/>
    <s v="high"/>
  </r>
  <r>
    <x v="115"/>
    <d v="2024-06-29T00:00:00"/>
    <x v="2"/>
    <s v="Notebook"/>
    <x v="4"/>
    <n v="6"/>
    <n v="5164.55"/>
    <n v="0.2"/>
    <x v="3"/>
    <x v="0"/>
    <x v="1"/>
    <n v="24789.84"/>
    <x v="11"/>
    <s v="high"/>
  </r>
  <r>
    <x v="116"/>
    <d v="2024-12-17T00:00:00"/>
    <x v="1"/>
    <s v="Jeans"/>
    <x v="0"/>
    <n v="3"/>
    <n v="7865.69"/>
    <n v="0.05"/>
    <x v="3"/>
    <x v="2"/>
    <x v="1"/>
    <n v="22417.22"/>
    <x v="4"/>
    <s v="high"/>
  </r>
  <r>
    <x v="117"/>
    <d v="2024-11-15T00:00:00"/>
    <x v="4"/>
    <s v="Hair Oil"/>
    <x v="0"/>
    <n v="6"/>
    <n v="820.56"/>
    <n v="0.15"/>
    <x v="0"/>
    <x v="2"/>
    <x v="1"/>
    <n v="4184.8599999999997"/>
    <x v="0"/>
    <s v="low"/>
  </r>
  <r>
    <x v="118"/>
    <d v="2024-12-02T00:00:00"/>
    <x v="2"/>
    <s v="Comic"/>
    <x v="2"/>
    <n v="1"/>
    <n v="1796.53"/>
    <n v="0"/>
    <x v="1"/>
    <x v="1"/>
    <x v="1"/>
    <n v="1796.53"/>
    <x v="4"/>
    <s v="low"/>
  </r>
  <r>
    <x v="119"/>
    <d v="2024-07-25T00:00:00"/>
    <x v="0"/>
    <s v="Wall Clock"/>
    <x v="6"/>
    <n v="5"/>
    <n v="1468.12"/>
    <n v="0"/>
    <x v="1"/>
    <x v="0"/>
    <x v="1"/>
    <n v="7340.6"/>
    <x v="6"/>
    <s v="low"/>
  </r>
  <r>
    <x v="120"/>
    <d v="2024-12-09T00:00:00"/>
    <x v="2"/>
    <s v="Novel"/>
    <x v="3"/>
    <n v="1"/>
    <n v="4507.25"/>
    <n v="0.1"/>
    <x v="3"/>
    <x v="0"/>
    <x v="1"/>
    <n v="4056.53"/>
    <x v="4"/>
    <s v="low"/>
  </r>
  <r>
    <x v="121"/>
    <d v="2024-03-25T00:00:00"/>
    <x v="4"/>
    <s v="Lipstick"/>
    <x v="3"/>
    <n v="5"/>
    <n v="4856.87"/>
    <n v="0"/>
    <x v="0"/>
    <x v="0"/>
    <x v="1"/>
    <n v="24284.35"/>
    <x v="7"/>
    <s v="high"/>
  </r>
  <r>
    <x v="122"/>
    <d v="2024-04-02T00:00:00"/>
    <x v="4"/>
    <s v="Hair Oil"/>
    <x v="5"/>
    <n v="6"/>
    <n v="2978.95"/>
    <n v="0"/>
    <x v="0"/>
    <x v="3"/>
    <x v="1"/>
    <n v="17873.7"/>
    <x v="8"/>
    <s v="medium"/>
  </r>
  <r>
    <x v="123"/>
    <d v="2024-04-19T00:00:00"/>
    <x v="4"/>
    <s v="Lipstick"/>
    <x v="2"/>
    <n v="6"/>
    <n v="3412.39"/>
    <n v="0.05"/>
    <x v="0"/>
    <x v="4"/>
    <x v="1"/>
    <n v="19450.62"/>
    <x v="8"/>
    <s v="medium"/>
  </r>
  <r>
    <x v="124"/>
    <d v="2024-08-04T00:00:00"/>
    <x v="0"/>
    <s v="Table Lamp"/>
    <x v="7"/>
    <n v="3"/>
    <n v="4499.12"/>
    <n v="0.1"/>
    <x v="0"/>
    <x v="4"/>
    <x v="1"/>
    <n v="12147.62"/>
    <x v="2"/>
    <s v="medium"/>
  </r>
  <r>
    <x v="125"/>
    <d v="2024-06-18T00:00:00"/>
    <x v="1"/>
    <s v="Sneakers"/>
    <x v="5"/>
    <n v="2"/>
    <n v="2639.19"/>
    <n v="0.1"/>
    <x v="0"/>
    <x v="4"/>
    <x v="1"/>
    <n v="4750.54"/>
    <x v="11"/>
    <s v="low"/>
  </r>
  <r>
    <x v="126"/>
    <d v="2024-07-23T00:00:00"/>
    <x v="2"/>
    <s v="Diary"/>
    <x v="2"/>
    <n v="3"/>
    <n v="1001.73"/>
    <n v="0"/>
    <x v="0"/>
    <x v="4"/>
    <x v="1"/>
    <n v="3005.19"/>
    <x v="6"/>
    <s v="low"/>
  </r>
  <r>
    <x v="127"/>
    <d v="2024-04-18T00:00:00"/>
    <x v="2"/>
    <s v="Notebook"/>
    <x v="5"/>
    <n v="1"/>
    <n v="5385.97"/>
    <n v="0.25"/>
    <x v="1"/>
    <x v="3"/>
    <x v="0"/>
    <n v="4039.48"/>
    <x v="8"/>
    <s v="low"/>
  </r>
  <r>
    <x v="128"/>
    <d v="2024-10-14T00:00:00"/>
    <x v="0"/>
    <s v="Wall Clock"/>
    <x v="1"/>
    <n v="6"/>
    <n v="2175.3200000000002"/>
    <n v="0.1"/>
    <x v="0"/>
    <x v="3"/>
    <x v="1"/>
    <n v="11746.73"/>
    <x v="5"/>
    <s v="medium"/>
  </r>
  <r>
    <x v="129"/>
    <d v="2024-03-01T00:00:00"/>
    <x v="2"/>
    <s v="Diary"/>
    <x v="2"/>
    <n v="4"/>
    <n v="4666.2700000000004"/>
    <n v="0.2"/>
    <x v="3"/>
    <x v="1"/>
    <x v="1"/>
    <n v="14932.06"/>
    <x v="7"/>
    <s v="medium"/>
  </r>
  <r>
    <x v="130"/>
    <d v="2024-02-12T00:00:00"/>
    <x v="4"/>
    <s v="Sunscreen"/>
    <x v="5"/>
    <n v="6"/>
    <n v="3856.71"/>
    <n v="0.05"/>
    <x v="1"/>
    <x v="3"/>
    <x v="1"/>
    <n v="21983.25"/>
    <x v="10"/>
    <s v="high"/>
  </r>
  <r>
    <x v="131"/>
    <d v="2024-01-10T00:00:00"/>
    <x v="3"/>
    <s v="Power Bank"/>
    <x v="3"/>
    <n v="3"/>
    <n v="5796.91"/>
    <n v="0.1"/>
    <x v="3"/>
    <x v="1"/>
    <x v="0"/>
    <n v="15651.66"/>
    <x v="1"/>
    <s v="medium"/>
  </r>
  <r>
    <x v="132"/>
    <d v="2024-08-23T00:00:00"/>
    <x v="0"/>
    <s v="Curtain"/>
    <x v="3"/>
    <n v="6"/>
    <n v="7468.92"/>
    <n v="0.1"/>
    <x v="0"/>
    <x v="4"/>
    <x v="0"/>
    <n v="40332.17"/>
    <x v="2"/>
    <s v="high"/>
  </r>
  <r>
    <x v="133"/>
    <d v="2024-11-03T00:00:00"/>
    <x v="4"/>
    <s v="Perfume"/>
    <x v="1"/>
    <n v="2"/>
    <n v="7667.94"/>
    <n v="0.25"/>
    <x v="2"/>
    <x v="1"/>
    <x v="1"/>
    <n v="11501.91"/>
    <x v="0"/>
    <s v="medium"/>
  </r>
  <r>
    <x v="134"/>
    <d v="2024-11-18T00:00:00"/>
    <x v="3"/>
    <s v="Smartwatch"/>
    <x v="4"/>
    <n v="4"/>
    <n v="3894.15"/>
    <n v="0.25"/>
    <x v="0"/>
    <x v="4"/>
    <x v="1"/>
    <n v="11682.45"/>
    <x v="0"/>
    <s v="medium"/>
  </r>
  <r>
    <x v="135"/>
    <d v="2024-11-03T00:00:00"/>
    <x v="2"/>
    <s v="Novel"/>
    <x v="4"/>
    <n v="3"/>
    <n v="4739.6499999999996"/>
    <n v="0.1"/>
    <x v="3"/>
    <x v="0"/>
    <x v="1"/>
    <n v="12797.05"/>
    <x v="0"/>
    <s v="medium"/>
  </r>
  <r>
    <x v="136"/>
    <d v="2024-05-17T00:00:00"/>
    <x v="3"/>
    <s v="Smartwatch"/>
    <x v="1"/>
    <n v="4"/>
    <n v="1384.65"/>
    <n v="0"/>
    <x v="0"/>
    <x v="2"/>
    <x v="1"/>
    <n v="5538.6"/>
    <x v="9"/>
    <s v="low"/>
  </r>
  <r>
    <x v="137"/>
    <d v="2024-10-03T00:00:00"/>
    <x v="0"/>
    <s v="Curtain"/>
    <x v="5"/>
    <n v="5"/>
    <n v="3955.39"/>
    <n v="0.2"/>
    <x v="0"/>
    <x v="3"/>
    <x v="1"/>
    <n v="15821.56"/>
    <x v="5"/>
    <s v="medium"/>
  </r>
  <r>
    <x v="138"/>
    <d v="2024-10-27T00:00:00"/>
    <x v="4"/>
    <s v="Lipstick"/>
    <x v="1"/>
    <n v="1"/>
    <n v="6364.57"/>
    <n v="0.25"/>
    <x v="2"/>
    <x v="4"/>
    <x v="1"/>
    <n v="4773.43"/>
    <x v="5"/>
    <s v="low"/>
  </r>
  <r>
    <x v="139"/>
    <d v="2024-09-16T00:00:00"/>
    <x v="2"/>
    <s v="Comic"/>
    <x v="3"/>
    <n v="5"/>
    <n v="1734.68"/>
    <n v="0.1"/>
    <x v="0"/>
    <x v="2"/>
    <x v="1"/>
    <n v="7806.06"/>
    <x v="3"/>
    <s v="low"/>
  </r>
  <r>
    <x v="140"/>
    <d v="2024-01-23T00:00:00"/>
    <x v="2"/>
    <s v="Notebook"/>
    <x v="6"/>
    <n v="4"/>
    <n v="3086.22"/>
    <n v="0"/>
    <x v="0"/>
    <x v="2"/>
    <x v="1"/>
    <n v="12344.88"/>
    <x v="1"/>
    <s v="medium"/>
  </r>
  <r>
    <x v="141"/>
    <d v="2024-02-18T00:00:00"/>
    <x v="2"/>
    <s v="Diary"/>
    <x v="2"/>
    <n v="1"/>
    <n v="1756.45"/>
    <n v="0.25"/>
    <x v="2"/>
    <x v="0"/>
    <x v="1"/>
    <n v="1317.34"/>
    <x v="10"/>
    <s v="low"/>
  </r>
  <r>
    <x v="142"/>
    <d v="2024-04-12T00:00:00"/>
    <x v="0"/>
    <s v="Bedsheet"/>
    <x v="7"/>
    <n v="2"/>
    <n v="3118.89"/>
    <n v="0"/>
    <x v="0"/>
    <x v="3"/>
    <x v="1"/>
    <n v="6237.78"/>
    <x v="8"/>
    <s v="low"/>
  </r>
  <r>
    <x v="143"/>
    <d v="2024-06-12T00:00:00"/>
    <x v="3"/>
    <s v="Earbuds"/>
    <x v="1"/>
    <n v="5"/>
    <n v="1980.68"/>
    <n v="0"/>
    <x v="1"/>
    <x v="1"/>
    <x v="1"/>
    <n v="9903.4"/>
    <x v="11"/>
    <s v="low"/>
  </r>
  <r>
    <x v="144"/>
    <d v="2024-06-29T00:00:00"/>
    <x v="1"/>
    <s v="T-Shirt"/>
    <x v="1"/>
    <n v="1"/>
    <n v="7236.62"/>
    <n v="0"/>
    <x v="0"/>
    <x v="0"/>
    <x v="0"/>
    <n v="7236.62"/>
    <x v="11"/>
    <s v="low"/>
  </r>
  <r>
    <x v="145"/>
    <d v="2024-01-03T00:00:00"/>
    <x v="3"/>
    <s v="Power Bank"/>
    <x v="7"/>
    <n v="2"/>
    <n v="5463.58"/>
    <n v="0.1"/>
    <x v="2"/>
    <x v="2"/>
    <x v="1"/>
    <n v="9834.44"/>
    <x v="1"/>
    <s v="low"/>
  </r>
  <r>
    <x v="146"/>
    <d v="2024-07-13T00:00:00"/>
    <x v="3"/>
    <s v="Smartwatch"/>
    <x v="3"/>
    <n v="2"/>
    <n v="3614.87"/>
    <n v="0.05"/>
    <x v="1"/>
    <x v="1"/>
    <x v="1"/>
    <n v="6868.25"/>
    <x v="6"/>
    <s v="low"/>
  </r>
  <r>
    <x v="147"/>
    <d v="2024-03-12T00:00:00"/>
    <x v="3"/>
    <s v="Phone Cover"/>
    <x v="7"/>
    <n v="4"/>
    <n v="7669.94"/>
    <n v="0.2"/>
    <x v="0"/>
    <x v="0"/>
    <x v="0"/>
    <n v="24543.81"/>
    <x v="7"/>
    <s v="high"/>
  </r>
  <r>
    <x v="148"/>
    <d v="2024-04-23T00:00:00"/>
    <x v="0"/>
    <s v="Wall Clock"/>
    <x v="7"/>
    <n v="6"/>
    <n v="595.29999999999995"/>
    <n v="0.25"/>
    <x v="2"/>
    <x v="1"/>
    <x v="1"/>
    <n v="2678.85"/>
    <x v="8"/>
    <s v="low"/>
  </r>
  <r>
    <x v="149"/>
    <d v="2024-06-20T00:00:00"/>
    <x v="3"/>
    <s v="Smartwatch"/>
    <x v="1"/>
    <n v="2"/>
    <n v="2196.2800000000002"/>
    <n v="0"/>
    <x v="0"/>
    <x v="1"/>
    <x v="1"/>
    <n v="4392.5600000000004"/>
    <x v="11"/>
    <s v="low"/>
  </r>
  <r>
    <x v="150"/>
    <d v="2024-04-13T00:00:00"/>
    <x v="0"/>
    <s v="Bedsheet"/>
    <x v="1"/>
    <n v="3"/>
    <n v="3541.67"/>
    <n v="0.1"/>
    <x v="0"/>
    <x v="3"/>
    <x v="1"/>
    <n v="9562.51"/>
    <x v="8"/>
    <s v="low"/>
  </r>
  <r>
    <x v="151"/>
    <d v="2024-09-16T00:00:00"/>
    <x v="1"/>
    <s v="T-Shirt"/>
    <x v="3"/>
    <n v="3"/>
    <n v="4159.66"/>
    <n v="0.25"/>
    <x v="0"/>
    <x v="3"/>
    <x v="1"/>
    <n v="9359.24"/>
    <x v="3"/>
    <s v="low"/>
  </r>
  <r>
    <x v="152"/>
    <d v="2024-03-11T00:00:00"/>
    <x v="1"/>
    <s v="Jeans"/>
    <x v="4"/>
    <n v="2"/>
    <n v="4244.97"/>
    <n v="0.1"/>
    <x v="1"/>
    <x v="0"/>
    <x v="1"/>
    <n v="7640.95"/>
    <x v="7"/>
    <s v="low"/>
  </r>
  <r>
    <x v="153"/>
    <d v="2024-11-09T00:00:00"/>
    <x v="1"/>
    <s v="Kurti"/>
    <x v="4"/>
    <n v="6"/>
    <n v="5705.9"/>
    <n v="0.1"/>
    <x v="2"/>
    <x v="3"/>
    <x v="1"/>
    <n v="30811.86"/>
    <x v="0"/>
    <s v="high"/>
  </r>
  <r>
    <x v="154"/>
    <d v="2024-02-16T00:00:00"/>
    <x v="0"/>
    <s v="Cushion"/>
    <x v="3"/>
    <n v="1"/>
    <n v="3364.71"/>
    <n v="0.25"/>
    <x v="0"/>
    <x v="2"/>
    <x v="0"/>
    <n v="2523.5300000000002"/>
    <x v="10"/>
    <s v="low"/>
  </r>
  <r>
    <x v="155"/>
    <d v="2024-07-01T00:00:00"/>
    <x v="1"/>
    <s v="Jeans"/>
    <x v="2"/>
    <n v="5"/>
    <n v="7467.13"/>
    <n v="0"/>
    <x v="0"/>
    <x v="0"/>
    <x v="0"/>
    <n v="37335.65"/>
    <x v="6"/>
    <s v="high"/>
  </r>
  <r>
    <x v="156"/>
    <d v="2024-08-16T00:00:00"/>
    <x v="0"/>
    <s v="Bedsheet"/>
    <x v="3"/>
    <n v="5"/>
    <n v="351.29"/>
    <n v="0.05"/>
    <x v="0"/>
    <x v="2"/>
    <x v="1"/>
    <n v="1668.63"/>
    <x v="2"/>
    <s v="low"/>
  </r>
  <r>
    <x v="157"/>
    <d v="2024-02-19T00:00:00"/>
    <x v="2"/>
    <s v="Novel"/>
    <x v="2"/>
    <n v="6"/>
    <n v="5949.18"/>
    <n v="0.1"/>
    <x v="0"/>
    <x v="0"/>
    <x v="0"/>
    <n v="32125.57"/>
    <x v="10"/>
    <s v="high"/>
  </r>
  <r>
    <x v="158"/>
    <d v="2024-01-24T00:00:00"/>
    <x v="0"/>
    <s v="Bedsheet"/>
    <x v="4"/>
    <n v="3"/>
    <n v="1115.94"/>
    <n v="0.25"/>
    <x v="2"/>
    <x v="1"/>
    <x v="1"/>
    <n v="2510.87"/>
    <x v="1"/>
    <s v="low"/>
  </r>
  <r>
    <x v="159"/>
    <d v="2024-07-22T00:00:00"/>
    <x v="1"/>
    <s v="Kurti"/>
    <x v="3"/>
    <n v="2"/>
    <n v="7593.33"/>
    <n v="0"/>
    <x v="1"/>
    <x v="0"/>
    <x v="0"/>
    <n v="15186.66"/>
    <x v="6"/>
    <s v="medium"/>
  </r>
  <r>
    <x v="160"/>
    <d v="2024-05-03T00:00:00"/>
    <x v="0"/>
    <s v="Cushion"/>
    <x v="0"/>
    <n v="3"/>
    <n v="5766.9"/>
    <n v="0.15"/>
    <x v="3"/>
    <x v="2"/>
    <x v="1"/>
    <n v="14705.59"/>
    <x v="9"/>
    <s v="medium"/>
  </r>
  <r>
    <x v="161"/>
    <d v="2024-02-25T00:00:00"/>
    <x v="4"/>
    <s v="Face Wash"/>
    <x v="7"/>
    <n v="5"/>
    <n v="1621.84"/>
    <n v="0.15"/>
    <x v="3"/>
    <x v="0"/>
    <x v="1"/>
    <n v="6892.82"/>
    <x v="10"/>
    <s v="low"/>
  </r>
  <r>
    <x v="162"/>
    <d v="2024-11-24T00:00:00"/>
    <x v="3"/>
    <s v="Earbuds"/>
    <x v="2"/>
    <n v="5"/>
    <n v="2236.31"/>
    <n v="0.1"/>
    <x v="1"/>
    <x v="4"/>
    <x v="0"/>
    <n v="10063.4"/>
    <x v="0"/>
    <s v="medium"/>
  </r>
  <r>
    <x v="163"/>
    <d v="2024-05-27T00:00:00"/>
    <x v="4"/>
    <s v="Lipstick"/>
    <x v="2"/>
    <n v="1"/>
    <n v="2547.48"/>
    <n v="0.05"/>
    <x v="0"/>
    <x v="3"/>
    <x v="1"/>
    <n v="2420.11"/>
    <x v="9"/>
    <s v="low"/>
  </r>
  <r>
    <x v="164"/>
    <d v="2024-08-13T00:00:00"/>
    <x v="2"/>
    <s v="Diary"/>
    <x v="4"/>
    <n v="1"/>
    <n v="4166.3100000000004"/>
    <n v="0.1"/>
    <x v="3"/>
    <x v="2"/>
    <x v="1"/>
    <n v="3749.68"/>
    <x v="2"/>
    <s v="low"/>
  </r>
  <r>
    <x v="165"/>
    <d v="2024-11-28T00:00:00"/>
    <x v="2"/>
    <s v="Diary"/>
    <x v="6"/>
    <n v="4"/>
    <n v="1729.36"/>
    <n v="0.15"/>
    <x v="3"/>
    <x v="3"/>
    <x v="1"/>
    <n v="5879.82"/>
    <x v="0"/>
    <s v="low"/>
  </r>
  <r>
    <x v="166"/>
    <d v="2024-09-19T00:00:00"/>
    <x v="0"/>
    <s v="Wall Clock"/>
    <x v="6"/>
    <n v="5"/>
    <n v="3157.9"/>
    <n v="0.2"/>
    <x v="0"/>
    <x v="2"/>
    <x v="1"/>
    <n v="12631.6"/>
    <x v="3"/>
    <s v="medium"/>
  </r>
  <r>
    <x v="167"/>
    <d v="2024-05-31T00:00:00"/>
    <x v="0"/>
    <s v="Cushion"/>
    <x v="6"/>
    <n v="1"/>
    <n v="6211.21"/>
    <n v="0.05"/>
    <x v="2"/>
    <x v="0"/>
    <x v="1"/>
    <n v="5900.65"/>
    <x v="9"/>
    <s v="low"/>
  </r>
  <r>
    <x v="168"/>
    <d v="2024-12-12T00:00:00"/>
    <x v="0"/>
    <s v="Bedsheet"/>
    <x v="6"/>
    <n v="6"/>
    <n v="7481.51"/>
    <n v="0.2"/>
    <x v="0"/>
    <x v="2"/>
    <x v="0"/>
    <n v="35911.25"/>
    <x v="4"/>
    <s v="high"/>
  </r>
  <r>
    <x v="169"/>
    <d v="2024-07-30T00:00:00"/>
    <x v="4"/>
    <s v="Perfume"/>
    <x v="4"/>
    <n v="1"/>
    <n v="183.94"/>
    <n v="0"/>
    <x v="3"/>
    <x v="2"/>
    <x v="0"/>
    <n v="183.94"/>
    <x v="6"/>
    <s v="low"/>
  </r>
  <r>
    <x v="170"/>
    <d v="2024-05-27T00:00:00"/>
    <x v="4"/>
    <s v="Hair Oil"/>
    <x v="3"/>
    <n v="6"/>
    <n v="2918.06"/>
    <n v="0.15"/>
    <x v="3"/>
    <x v="0"/>
    <x v="1"/>
    <n v="14882.106"/>
    <x v="9"/>
    <s v="medium"/>
  </r>
  <r>
    <x v="171"/>
    <d v="2024-10-01T00:00:00"/>
    <x v="4"/>
    <s v="Perfume"/>
    <x v="4"/>
    <n v="3"/>
    <n v="6453.18"/>
    <n v="0.2"/>
    <x v="2"/>
    <x v="4"/>
    <x v="1"/>
    <n v="15487.63"/>
    <x v="5"/>
    <s v="medium"/>
  </r>
  <r>
    <x v="172"/>
    <d v="2024-01-06T00:00:00"/>
    <x v="0"/>
    <s v="Wall Clock"/>
    <x v="0"/>
    <n v="1"/>
    <n v="522.41999999999996"/>
    <n v="0.25"/>
    <x v="0"/>
    <x v="4"/>
    <x v="1"/>
    <n v="391.81"/>
    <x v="1"/>
    <s v="low"/>
  </r>
  <r>
    <x v="173"/>
    <d v="2024-01-21T00:00:00"/>
    <x v="4"/>
    <s v="Hair Oil"/>
    <x v="7"/>
    <n v="5"/>
    <n v="5458.38"/>
    <n v="0.25"/>
    <x v="0"/>
    <x v="0"/>
    <x v="1"/>
    <n v="20468.93"/>
    <x v="1"/>
    <s v="high"/>
  </r>
  <r>
    <x v="174"/>
    <d v="2024-07-24T00:00:00"/>
    <x v="1"/>
    <s v="Sneakers"/>
    <x v="3"/>
    <n v="4"/>
    <n v="6173.53"/>
    <n v="0.15"/>
    <x v="1"/>
    <x v="3"/>
    <x v="1"/>
    <n v="20990"/>
    <x v="6"/>
    <s v="high"/>
  </r>
  <r>
    <x v="175"/>
    <d v="2024-12-01T00:00:00"/>
    <x v="2"/>
    <s v="Notebook"/>
    <x v="5"/>
    <n v="3"/>
    <n v="5565.61"/>
    <n v="0.2"/>
    <x v="1"/>
    <x v="1"/>
    <x v="1"/>
    <n v="13357.46"/>
    <x v="4"/>
    <s v="medium"/>
  </r>
  <r>
    <x v="176"/>
    <d v="2024-06-29T00:00:00"/>
    <x v="1"/>
    <s v="T-Shirt"/>
    <x v="5"/>
    <n v="5"/>
    <n v="7950.93"/>
    <n v="0"/>
    <x v="1"/>
    <x v="3"/>
    <x v="1"/>
    <n v="39754.65"/>
    <x v="11"/>
    <s v="high"/>
  </r>
  <r>
    <x v="177"/>
    <d v="2024-12-08T00:00:00"/>
    <x v="4"/>
    <s v="Face Wash"/>
    <x v="2"/>
    <n v="1"/>
    <n v="1693.71"/>
    <n v="0.25"/>
    <x v="2"/>
    <x v="1"/>
    <x v="1"/>
    <n v="1270.28"/>
    <x v="4"/>
    <s v="low"/>
  </r>
  <r>
    <x v="178"/>
    <d v="2024-03-15T00:00:00"/>
    <x v="4"/>
    <s v="Sunscreen"/>
    <x v="5"/>
    <n v="2"/>
    <n v="4219.63"/>
    <n v="0"/>
    <x v="0"/>
    <x v="4"/>
    <x v="1"/>
    <n v="8439.26"/>
    <x v="7"/>
    <s v="low"/>
  </r>
  <r>
    <x v="179"/>
    <d v="2024-03-14T00:00:00"/>
    <x v="3"/>
    <s v="Earbuds"/>
    <x v="7"/>
    <n v="6"/>
    <n v="2020.36"/>
    <n v="0.1"/>
    <x v="0"/>
    <x v="3"/>
    <x v="1"/>
    <n v="10909.94"/>
    <x v="7"/>
    <s v="medium"/>
  </r>
  <r>
    <x v="180"/>
    <d v="2024-01-11T00:00:00"/>
    <x v="1"/>
    <s v="Sneakers"/>
    <x v="0"/>
    <n v="1"/>
    <n v="1877.38"/>
    <n v="0.2"/>
    <x v="2"/>
    <x v="1"/>
    <x v="0"/>
    <n v="1501.9"/>
    <x v="1"/>
    <s v="low"/>
  </r>
  <r>
    <x v="181"/>
    <d v="2024-06-10T00:00:00"/>
    <x v="1"/>
    <s v="Handbag"/>
    <x v="4"/>
    <n v="1"/>
    <n v="7206.11"/>
    <n v="0.25"/>
    <x v="0"/>
    <x v="3"/>
    <x v="1"/>
    <n v="5404.58"/>
    <x v="11"/>
    <s v="low"/>
  </r>
  <r>
    <x v="182"/>
    <d v="2024-07-30T00:00:00"/>
    <x v="4"/>
    <s v="Sunscreen"/>
    <x v="6"/>
    <n v="3"/>
    <n v="3278.99"/>
    <n v="0.25"/>
    <x v="0"/>
    <x v="1"/>
    <x v="0"/>
    <n v="7377.73"/>
    <x v="6"/>
    <s v="low"/>
  </r>
  <r>
    <x v="183"/>
    <d v="2024-02-28T00:00:00"/>
    <x v="0"/>
    <s v="Table Lamp"/>
    <x v="7"/>
    <n v="3"/>
    <n v="4339.9399999999996"/>
    <n v="0.2"/>
    <x v="0"/>
    <x v="2"/>
    <x v="1"/>
    <n v="10415.86"/>
    <x v="10"/>
    <s v="medium"/>
  </r>
  <r>
    <x v="184"/>
    <d v="2024-05-25T00:00:00"/>
    <x v="4"/>
    <s v="Lipstick"/>
    <x v="3"/>
    <n v="3"/>
    <n v="2011.82"/>
    <n v="0"/>
    <x v="0"/>
    <x v="3"/>
    <x v="1"/>
    <n v="6035.46"/>
    <x v="9"/>
    <s v="low"/>
  </r>
  <r>
    <x v="185"/>
    <d v="2024-10-11T00:00:00"/>
    <x v="0"/>
    <s v="Curtain"/>
    <x v="4"/>
    <n v="4"/>
    <n v="3816.36"/>
    <n v="0.1"/>
    <x v="0"/>
    <x v="4"/>
    <x v="1"/>
    <n v="13738.9"/>
    <x v="5"/>
    <s v="medium"/>
  </r>
  <r>
    <x v="186"/>
    <d v="2024-04-26T00:00:00"/>
    <x v="0"/>
    <s v="Table Lamp"/>
    <x v="6"/>
    <n v="4"/>
    <n v="5451.12"/>
    <n v="0.1"/>
    <x v="2"/>
    <x v="4"/>
    <x v="1"/>
    <n v="19624.03"/>
    <x v="8"/>
    <s v="medium"/>
  </r>
  <r>
    <x v="187"/>
    <d v="2024-10-04T00:00:00"/>
    <x v="1"/>
    <s v="T-Shirt"/>
    <x v="5"/>
    <n v="3"/>
    <n v="5927.12"/>
    <n v="0.2"/>
    <x v="0"/>
    <x v="3"/>
    <x v="1"/>
    <n v="14225.09"/>
    <x v="5"/>
    <s v="medium"/>
  </r>
  <r>
    <x v="188"/>
    <d v="2024-12-05T00:00:00"/>
    <x v="1"/>
    <s v="Jeans"/>
    <x v="6"/>
    <n v="1"/>
    <n v="684.43"/>
    <n v="0.15"/>
    <x v="2"/>
    <x v="2"/>
    <x v="1"/>
    <n v="581.77"/>
    <x v="4"/>
    <s v="low"/>
  </r>
  <r>
    <x v="189"/>
    <d v="2024-07-25T00:00:00"/>
    <x v="4"/>
    <s v="Perfume"/>
    <x v="7"/>
    <n v="4"/>
    <n v="6233.72"/>
    <n v="0.05"/>
    <x v="0"/>
    <x v="0"/>
    <x v="0"/>
    <n v="23688.14"/>
    <x v="6"/>
    <s v="high"/>
  </r>
  <r>
    <x v="190"/>
    <d v="2024-06-29T00:00:00"/>
    <x v="4"/>
    <s v="Lipstick"/>
    <x v="0"/>
    <n v="6"/>
    <n v="916.93"/>
    <n v="0.1"/>
    <x v="0"/>
    <x v="0"/>
    <x v="0"/>
    <n v="4951.42"/>
    <x v="11"/>
    <s v="low"/>
  </r>
  <r>
    <x v="191"/>
    <d v="2024-04-11T00:00:00"/>
    <x v="2"/>
    <s v="Notebook"/>
    <x v="0"/>
    <n v="3"/>
    <n v="1376.08"/>
    <n v="0"/>
    <x v="2"/>
    <x v="4"/>
    <x v="1"/>
    <n v="4128.24"/>
    <x v="8"/>
    <s v="low"/>
  </r>
  <r>
    <x v="192"/>
    <d v="2024-12-09T00:00:00"/>
    <x v="2"/>
    <s v="Comic"/>
    <x v="0"/>
    <n v="6"/>
    <n v="4665.91"/>
    <n v="0"/>
    <x v="0"/>
    <x v="4"/>
    <x v="0"/>
    <n v="27995.46"/>
    <x v="4"/>
    <s v="high"/>
  </r>
  <r>
    <x v="193"/>
    <d v="2024-06-12T00:00:00"/>
    <x v="1"/>
    <s v="T-Shirt"/>
    <x v="2"/>
    <n v="2"/>
    <n v="6250.4"/>
    <n v="0.15"/>
    <x v="1"/>
    <x v="4"/>
    <x v="1"/>
    <n v="10625.68"/>
    <x v="11"/>
    <s v="medium"/>
  </r>
  <r>
    <x v="194"/>
    <d v="2024-06-27T00:00:00"/>
    <x v="0"/>
    <s v="Curtain"/>
    <x v="5"/>
    <n v="4"/>
    <n v="3624.07"/>
    <n v="0.15"/>
    <x v="1"/>
    <x v="4"/>
    <x v="0"/>
    <n v="12321.84"/>
    <x v="11"/>
    <s v="medium"/>
  </r>
  <r>
    <x v="195"/>
    <d v="2024-09-07T00:00:00"/>
    <x v="1"/>
    <s v="Sneakers"/>
    <x v="4"/>
    <n v="2"/>
    <n v="492.98"/>
    <n v="0.1"/>
    <x v="0"/>
    <x v="1"/>
    <x v="0"/>
    <n v="887.36"/>
    <x v="3"/>
    <s v="low"/>
  </r>
  <r>
    <x v="196"/>
    <d v="2024-07-29T00:00:00"/>
    <x v="1"/>
    <s v="Jeans"/>
    <x v="7"/>
    <n v="1"/>
    <n v="1731.08"/>
    <n v="0.1"/>
    <x v="0"/>
    <x v="1"/>
    <x v="0"/>
    <n v="1557.97"/>
    <x v="6"/>
    <s v="low"/>
  </r>
  <r>
    <x v="197"/>
    <d v="2024-11-24T00:00:00"/>
    <x v="2"/>
    <s v="Guide Book"/>
    <x v="4"/>
    <n v="3"/>
    <n v="5629.69"/>
    <n v="0.05"/>
    <x v="1"/>
    <x v="4"/>
    <x v="1"/>
    <n v="16044.62"/>
    <x v="0"/>
    <s v="medium"/>
  </r>
  <r>
    <x v="198"/>
    <d v="2024-07-26T00:00:00"/>
    <x v="1"/>
    <s v="Kurti"/>
    <x v="3"/>
    <n v="2"/>
    <n v="1048.6500000000001"/>
    <n v="0.1"/>
    <x v="0"/>
    <x v="1"/>
    <x v="0"/>
    <n v="1887.57"/>
    <x v="6"/>
    <s v="low"/>
  </r>
  <r>
    <x v="199"/>
    <d v="2024-03-23T00:00:00"/>
    <x v="0"/>
    <s v="Table Lamp"/>
    <x v="5"/>
    <n v="3"/>
    <n v="3643.82"/>
    <n v="0.15"/>
    <x v="0"/>
    <x v="0"/>
    <x v="0"/>
    <n v="9291.74"/>
    <x v="7"/>
    <s v="low"/>
  </r>
  <r>
    <x v="200"/>
    <d v="2024-02-25T00:00:00"/>
    <x v="0"/>
    <s v="Curtain"/>
    <x v="1"/>
    <n v="6"/>
    <n v="3987.68"/>
    <n v="0.2"/>
    <x v="3"/>
    <x v="2"/>
    <x v="1"/>
    <n v="19140.86"/>
    <x v="10"/>
    <s v="medium"/>
  </r>
  <r>
    <x v="201"/>
    <d v="2024-01-15T00:00:00"/>
    <x v="1"/>
    <s v="T-Shirt"/>
    <x v="4"/>
    <n v="1"/>
    <n v="6229.34"/>
    <n v="0.05"/>
    <x v="0"/>
    <x v="1"/>
    <x v="0"/>
    <n v="5917.87"/>
    <x v="1"/>
    <s v="low"/>
  </r>
  <r>
    <x v="202"/>
    <d v="2024-07-13T00:00:00"/>
    <x v="0"/>
    <s v="Curtain"/>
    <x v="7"/>
    <n v="2"/>
    <n v="5231.34"/>
    <n v="0.15"/>
    <x v="0"/>
    <x v="2"/>
    <x v="1"/>
    <n v="8893.2800000000007"/>
    <x v="6"/>
    <s v="low"/>
  </r>
  <r>
    <x v="203"/>
    <d v="2024-10-17T00:00:00"/>
    <x v="3"/>
    <s v="Earbuds"/>
    <x v="5"/>
    <n v="6"/>
    <n v="7380.46"/>
    <n v="0.2"/>
    <x v="0"/>
    <x v="2"/>
    <x v="0"/>
    <n v="35426.21"/>
    <x v="5"/>
    <s v="high"/>
  </r>
  <r>
    <x v="204"/>
    <d v="2024-03-11T00:00:00"/>
    <x v="1"/>
    <s v="Kurti"/>
    <x v="4"/>
    <n v="4"/>
    <n v="5148.53"/>
    <n v="0.2"/>
    <x v="0"/>
    <x v="2"/>
    <x v="0"/>
    <n v="16475.3"/>
    <x v="7"/>
    <s v="medium"/>
  </r>
  <r>
    <x v="205"/>
    <d v="2024-03-14T00:00:00"/>
    <x v="3"/>
    <s v="Phone Cover"/>
    <x v="0"/>
    <n v="3"/>
    <n v="715.15"/>
    <n v="0"/>
    <x v="2"/>
    <x v="1"/>
    <x v="1"/>
    <n v="2145.4499999999998"/>
    <x v="7"/>
    <s v="low"/>
  </r>
  <r>
    <x v="206"/>
    <d v="2024-08-14T00:00:00"/>
    <x v="4"/>
    <s v="Perfume"/>
    <x v="2"/>
    <n v="5"/>
    <n v="5450.8"/>
    <n v="0.1"/>
    <x v="3"/>
    <x v="1"/>
    <x v="1"/>
    <n v="24528.6"/>
    <x v="2"/>
    <s v="high"/>
  </r>
  <r>
    <x v="207"/>
    <d v="2024-01-31T00:00:00"/>
    <x v="2"/>
    <s v="Diary"/>
    <x v="5"/>
    <n v="6"/>
    <n v="5460.1"/>
    <n v="0.1"/>
    <x v="2"/>
    <x v="2"/>
    <x v="1"/>
    <n v="29484.54"/>
    <x v="1"/>
    <s v="high"/>
  </r>
  <r>
    <x v="208"/>
    <d v="2024-04-23T00:00:00"/>
    <x v="2"/>
    <s v="Novel"/>
    <x v="6"/>
    <n v="6"/>
    <n v="5956.77"/>
    <n v="0"/>
    <x v="0"/>
    <x v="4"/>
    <x v="1"/>
    <n v="35740.620000000003"/>
    <x v="8"/>
    <s v="high"/>
  </r>
  <r>
    <x v="209"/>
    <d v="2024-05-13T00:00:00"/>
    <x v="2"/>
    <s v="Guide Book"/>
    <x v="0"/>
    <n v="1"/>
    <n v="1933.87"/>
    <n v="0.1"/>
    <x v="2"/>
    <x v="1"/>
    <x v="1"/>
    <n v="1740.48"/>
    <x v="9"/>
    <s v="low"/>
  </r>
  <r>
    <x v="210"/>
    <d v="2024-04-25T00:00:00"/>
    <x v="4"/>
    <s v="Lipstick"/>
    <x v="3"/>
    <n v="5"/>
    <n v="4645.75"/>
    <n v="0"/>
    <x v="1"/>
    <x v="3"/>
    <x v="1"/>
    <n v="23228.75"/>
    <x v="8"/>
    <s v="high"/>
  </r>
  <r>
    <x v="211"/>
    <d v="2024-11-16T00:00:00"/>
    <x v="1"/>
    <s v="Handbag"/>
    <x v="5"/>
    <n v="6"/>
    <n v="4193.9799999999996"/>
    <n v="0.25"/>
    <x v="1"/>
    <x v="3"/>
    <x v="1"/>
    <n v="18872.91"/>
    <x v="0"/>
    <s v="medium"/>
  </r>
  <r>
    <x v="212"/>
    <d v="2024-07-26T00:00:00"/>
    <x v="0"/>
    <s v="Curtain"/>
    <x v="2"/>
    <n v="2"/>
    <n v="520.69000000000005"/>
    <n v="0"/>
    <x v="0"/>
    <x v="1"/>
    <x v="1"/>
    <n v="1041.3800000000001"/>
    <x v="6"/>
    <s v="low"/>
  </r>
  <r>
    <x v="213"/>
    <d v="2024-10-15T00:00:00"/>
    <x v="3"/>
    <s v="Phone Cover"/>
    <x v="6"/>
    <n v="1"/>
    <n v="7352.41"/>
    <n v="0.15"/>
    <x v="0"/>
    <x v="3"/>
    <x v="1"/>
    <n v="6249.55"/>
    <x v="5"/>
    <s v="low"/>
  </r>
  <r>
    <x v="214"/>
    <d v="2024-09-19T00:00:00"/>
    <x v="3"/>
    <s v="Power Bank"/>
    <x v="7"/>
    <n v="6"/>
    <n v="4268.96"/>
    <n v="0.15"/>
    <x v="1"/>
    <x v="2"/>
    <x v="0"/>
    <n v="21771.7"/>
    <x v="3"/>
    <s v="high"/>
  </r>
  <r>
    <x v="215"/>
    <d v="2024-06-30T00:00:00"/>
    <x v="3"/>
    <s v="Power Bank"/>
    <x v="1"/>
    <n v="2"/>
    <n v="5597.33"/>
    <n v="0"/>
    <x v="2"/>
    <x v="2"/>
    <x v="1"/>
    <n v="11194.66"/>
    <x v="11"/>
    <s v="medium"/>
  </r>
  <r>
    <x v="216"/>
    <d v="2024-12-17T00:00:00"/>
    <x v="1"/>
    <s v="Handbag"/>
    <x v="1"/>
    <n v="6"/>
    <n v="3139.44"/>
    <n v="0.05"/>
    <x v="2"/>
    <x v="0"/>
    <x v="0"/>
    <n v="17894.810000000001"/>
    <x v="4"/>
    <s v="medium"/>
  </r>
  <r>
    <x v="217"/>
    <d v="2024-09-06T00:00:00"/>
    <x v="3"/>
    <s v="Smartwatch"/>
    <x v="4"/>
    <n v="5"/>
    <n v="3949.16"/>
    <n v="0"/>
    <x v="0"/>
    <x v="0"/>
    <x v="1"/>
    <n v="19745.8"/>
    <x v="3"/>
    <s v="medium"/>
  </r>
  <r>
    <x v="218"/>
    <d v="2024-11-08T00:00:00"/>
    <x v="4"/>
    <s v="Hair Oil"/>
    <x v="6"/>
    <n v="5"/>
    <n v="745.69"/>
    <n v="0.15"/>
    <x v="2"/>
    <x v="1"/>
    <x v="1"/>
    <n v="3169.18"/>
    <x v="0"/>
    <s v="low"/>
  </r>
  <r>
    <x v="219"/>
    <d v="2024-07-17T00:00:00"/>
    <x v="4"/>
    <s v="Perfume"/>
    <x v="3"/>
    <n v="3"/>
    <n v="2617.7199999999998"/>
    <n v="0.15"/>
    <x v="2"/>
    <x v="4"/>
    <x v="0"/>
    <n v="6675.19"/>
    <x v="6"/>
    <s v="low"/>
  </r>
  <r>
    <x v="220"/>
    <d v="2024-07-15T00:00:00"/>
    <x v="1"/>
    <s v="Kurti"/>
    <x v="1"/>
    <n v="3"/>
    <n v="648.34"/>
    <n v="0.1"/>
    <x v="0"/>
    <x v="3"/>
    <x v="0"/>
    <n v="1750.52"/>
    <x v="6"/>
    <s v="low"/>
  </r>
  <r>
    <x v="221"/>
    <d v="2024-07-04T00:00:00"/>
    <x v="1"/>
    <s v="Sneakers"/>
    <x v="5"/>
    <n v="3"/>
    <n v="6375.38"/>
    <n v="0.1"/>
    <x v="0"/>
    <x v="4"/>
    <x v="1"/>
    <n v="17213.53"/>
    <x v="6"/>
    <s v="medium"/>
  </r>
  <r>
    <x v="222"/>
    <d v="2024-06-20T00:00:00"/>
    <x v="0"/>
    <s v="Curtain"/>
    <x v="0"/>
    <n v="1"/>
    <n v="5678.17"/>
    <n v="0.15"/>
    <x v="3"/>
    <x v="1"/>
    <x v="1"/>
    <n v="4826.4399999999996"/>
    <x v="11"/>
    <s v="low"/>
  </r>
  <r>
    <x v="223"/>
    <d v="2024-07-26T00:00:00"/>
    <x v="1"/>
    <s v="T-Shirt"/>
    <x v="3"/>
    <n v="4"/>
    <n v="3259.18"/>
    <n v="0.1"/>
    <x v="0"/>
    <x v="4"/>
    <x v="1"/>
    <n v="11733.05"/>
    <x v="6"/>
    <s v="medium"/>
  </r>
  <r>
    <x v="224"/>
    <d v="2024-10-26T00:00:00"/>
    <x v="3"/>
    <s v="Power Bank"/>
    <x v="5"/>
    <n v="2"/>
    <n v="2538.2600000000002"/>
    <n v="0.15"/>
    <x v="3"/>
    <x v="3"/>
    <x v="1"/>
    <n v="4315.04"/>
    <x v="5"/>
    <s v="low"/>
  </r>
  <r>
    <x v="225"/>
    <d v="2024-05-11T00:00:00"/>
    <x v="0"/>
    <s v="Wall Clock"/>
    <x v="1"/>
    <n v="5"/>
    <n v="331.12"/>
    <n v="0.05"/>
    <x v="1"/>
    <x v="1"/>
    <x v="1"/>
    <n v="1572.82"/>
    <x v="9"/>
    <s v="low"/>
  </r>
  <r>
    <x v="226"/>
    <d v="2024-05-03T00:00:00"/>
    <x v="2"/>
    <s v="Novel"/>
    <x v="6"/>
    <n v="6"/>
    <n v="595.88"/>
    <n v="0.05"/>
    <x v="2"/>
    <x v="1"/>
    <x v="0"/>
    <n v="3396.52"/>
    <x v="9"/>
    <s v="low"/>
  </r>
  <r>
    <x v="227"/>
    <d v="2024-11-23T00:00:00"/>
    <x v="1"/>
    <s v="Jeans"/>
    <x v="2"/>
    <n v="3"/>
    <n v="7394.67"/>
    <n v="0.1"/>
    <x v="0"/>
    <x v="2"/>
    <x v="1"/>
    <n v="19965.61"/>
    <x v="0"/>
    <s v="medium"/>
  </r>
  <r>
    <x v="228"/>
    <d v="2024-02-14T00:00:00"/>
    <x v="3"/>
    <s v="Bluetooth Speaker"/>
    <x v="2"/>
    <n v="6"/>
    <n v="4960.42"/>
    <n v="0.25"/>
    <x v="2"/>
    <x v="2"/>
    <x v="1"/>
    <n v="22321.89"/>
    <x v="10"/>
    <s v="high"/>
  </r>
  <r>
    <x v="229"/>
    <d v="2024-03-21T00:00:00"/>
    <x v="3"/>
    <s v="Bluetooth Speaker"/>
    <x v="7"/>
    <n v="1"/>
    <n v="296.02"/>
    <n v="0.1"/>
    <x v="0"/>
    <x v="2"/>
    <x v="1"/>
    <n v="266.42"/>
    <x v="7"/>
    <s v="low"/>
  </r>
  <r>
    <x v="230"/>
    <d v="2024-04-27T00:00:00"/>
    <x v="2"/>
    <s v="Diary"/>
    <x v="7"/>
    <n v="6"/>
    <n v="5006.6099999999997"/>
    <n v="0.25"/>
    <x v="0"/>
    <x v="0"/>
    <x v="1"/>
    <n v="22529.74"/>
    <x v="8"/>
    <s v="high"/>
  </r>
  <r>
    <x v="231"/>
    <d v="2024-03-08T00:00:00"/>
    <x v="0"/>
    <s v="Curtain"/>
    <x v="1"/>
    <n v="3"/>
    <n v="220.97"/>
    <n v="0.25"/>
    <x v="0"/>
    <x v="1"/>
    <x v="1"/>
    <n v="497.18"/>
    <x v="7"/>
    <s v="low"/>
  </r>
  <r>
    <x v="232"/>
    <d v="2024-03-03T00:00:00"/>
    <x v="3"/>
    <s v="Earbuds"/>
    <x v="4"/>
    <n v="1"/>
    <n v="4414.68"/>
    <n v="0.1"/>
    <x v="2"/>
    <x v="1"/>
    <x v="1"/>
    <n v="3973.21"/>
    <x v="7"/>
    <s v="low"/>
  </r>
  <r>
    <x v="233"/>
    <d v="2024-12-29T00:00:00"/>
    <x v="2"/>
    <s v="Novel"/>
    <x v="7"/>
    <n v="2"/>
    <n v="3616.22"/>
    <n v="0.25"/>
    <x v="0"/>
    <x v="2"/>
    <x v="0"/>
    <n v="5424.33"/>
    <x v="4"/>
    <s v="low"/>
  </r>
  <r>
    <x v="234"/>
    <d v="2024-11-26T00:00:00"/>
    <x v="3"/>
    <s v="Earbuds"/>
    <x v="5"/>
    <n v="4"/>
    <n v="5442.57"/>
    <n v="0.15"/>
    <x v="0"/>
    <x v="1"/>
    <x v="0"/>
    <n v="18504.740000000002"/>
    <x v="0"/>
    <s v="medium"/>
  </r>
  <r>
    <x v="235"/>
    <d v="2024-12-29T00:00:00"/>
    <x v="0"/>
    <s v="Bedsheet"/>
    <x v="1"/>
    <n v="4"/>
    <n v="2048.36"/>
    <n v="0.15"/>
    <x v="0"/>
    <x v="0"/>
    <x v="1"/>
    <n v="6964.42"/>
    <x v="4"/>
    <s v="low"/>
  </r>
  <r>
    <x v="236"/>
    <d v="2024-05-16T00:00:00"/>
    <x v="2"/>
    <s v="Notebook"/>
    <x v="3"/>
    <n v="2"/>
    <n v="6609.21"/>
    <n v="0.1"/>
    <x v="0"/>
    <x v="4"/>
    <x v="1"/>
    <n v="11896.58"/>
    <x v="9"/>
    <s v="medium"/>
  </r>
  <r>
    <x v="237"/>
    <d v="2024-04-17T00:00:00"/>
    <x v="1"/>
    <s v="Handbag"/>
    <x v="2"/>
    <n v="6"/>
    <n v="2978.86"/>
    <n v="0.25"/>
    <x v="0"/>
    <x v="3"/>
    <x v="1"/>
    <n v="13404.87"/>
    <x v="8"/>
    <s v="medium"/>
  </r>
  <r>
    <x v="238"/>
    <d v="2024-03-18T00:00:00"/>
    <x v="3"/>
    <s v="Power Bank"/>
    <x v="1"/>
    <n v="5"/>
    <n v="5927.73"/>
    <n v="0"/>
    <x v="0"/>
    <x v="0"/>
    <x v="1"/>
    <n v="29638.65"/>
    <x v="7"/>
    <s v="high"/>
  </r>
  <r>
    <x v="239"/>
    <d v="2024-04-13T00:00:00"/>
    <x v="3"/>
    <s v="Phone Cover"/>
    <x v="6"/>
    <n v="6"/>
    <n v="5562.25"/>
    <n v="0"/>
    <x v="0"/>
    <x v="3"/>
    <x v="0"/>
    <n v="33373.5"/>
    <x v="8"/>
    <s v="high"/>
  </r>
  <r>
    <x v="240"/>
    <d v="2024-03-02T00:00:00"/>
    <x v="0"/>
    <s v="Bedsheet"/>
    <x v="5"/>
    <n v="4"/>
    <n v="7769.12"/>
    <n v="0.2"/>
    <x v="0"/>
    <x v="4"/>
    <x v="0"/>
    <n v="24861.18"/>
    <x v="7"/>
    <s v="high"/>
  </r>
  <r>
    <x v="241"/>
    <d v="2024-02-09T00:00:00"/>
    <x v="2"/>
    <s v="Comic"/>
    <x v="3"/>
    <n v="3"/>
    <n v="7768.35"/>
    <n v="0.1"/>
    <x v="1"/>
    <x v="3"/>
    <x v="1"/>
    <n v="20974.55"/>
    <x v="10"/>
    <s v="high"/>
  </r>
  <r>
    <x v="242"/>
    <d v="2024-10-11T00:00:00"/>
    <x v="2"/>
    <s v="Novel"/>
    <x v="0"/>
    <n v="3"/>
    <n v="2247.58"/>
    <n v="0.15"/>
    <x v="1"/>
    <x v="0"/>
    <x v="1"/>
    <n v="5731.33"/>
    <x v="5"/>
    <s v="low"/>
  </r>
  <r>
    <x v="243"/>
    <d v="2024-10-03T00:00:00"/>
    <x v="4"/>
    <s v="Hair Oil"/>
    <x v="7"/>
    <n v="4"/>
    <n v="3156.36"/>
    <n v="0.05"/>
    <x v="3"/>
    <x v="3"/>
    <x v="1"/>
    <n v="11994.17"/>
    <x v="5"/>
    <s v="medium"/>
  </r>
  <r>
    <x v="244"/>
    <d v="2024-12-21T00:00:00"/>
    <x v="2"/>
    <s v="Diary"/>
    <x v="1"/>
    <n v="5"/>
    <n v="5880.48"/>
    <n v="0.1"/>
    <x v="0"/>
    <x v="3"/>
    <x v="1"/>
    <n v="26462.16"/>
    <x v="4"/>
    <s v="high"/>
  </r>
  <r>
    <x v="245"/>
    <d v="2024-10-08T00:00:00"/>
    <x v="2"/>
    <s v="Comic"/>
    <x v="3"/>
    <n v="6"/>
    <n v="2627.59"/>
    <n v="0"/>
    <x v="3"/>
    <x v="0"/>
    <x v="1"/>
    <n v="15765.54"/>
    <x v="5"/>
    <s v="medium"/>
  </r>
  <r>
    <x v="246"/>
    <d v="2024-07-20T00:00:00"/>
    <x v="4"/>
    <s v="Perfume"/>
    <x v="5"/>
    <n v="5"/>
    <n v="2241.31"/>
    <n v="0.15"/>
    <x v="0"/>
    <x v="2"/>
    <x v="1"/>
    <n v="9525.57"/>
    <x v="6"/>
    <s v="low"/>
  </r>
  <r>
    <x v="247"/>
    <d v="2024-10-19T00:00:00"/>
    <x v="4"/>
    <s v="Perfume"/>
    <x v="3"/>
    <n v="2"/>
    <n v="7995.38"/>
    <n v="0"/>
    <x v="2"/>
    <x v="1"/>
    <x v="1"/>
    <n v="15990.76"/>
    <x v="5"/>
    <s v="medium"/>
  </r>
  <r>
    <x v="248"/>
    <d v="2024-06-13T00:00:00"/>
    <x v="4"/>
    <s v="Lipstick"/>
    <x v="2"/>
    <n v="4"/>
    <n v="2989.84"/>
    <n v="0.2"/>
    <x v="0"/>
    <x v="4"/>
    <x v="1"/>
    <n v="9567.49"/>
    <x v="11"/>
    <s v="low"/>
  </r>
  <r>
    <x v="249"/>
    <d v="2024-07-21T00:00:00"/>
    <x v="4"/>
    <s v="Face Wash"/>
    <x v="1"/>
    <n v="3"/>
    <n v="7976.15"/>
    <n v="0"/>
    <x v="3"/>
    <x v="3"/>
    <x v="1"/>
    <n v="23928.45"/>
    <x v="6"/>
    <s v="high"/>
  </r>
  <r>
    <x v="250"/>
    <d v="2024-11-14T00:00:00"/>
    <x v="0"/>
    <s v="Table Lamp"/>
    <x v="6"/>
    <n v="3"/>
    <n v="4258.58"/>
    <n v="0.2"/>
    <x v="0"/>
    <x v="1"/>
    <x v="1"/>
    <n v="10220.59"/>
    <x v="0"/>
    <s v="medium"/>
  </r>
  <r>
    <x v="251"/>
    <d v="2024-05-10T00:00:00"/>
    <x v="2"/>
    <s v="Comic"/>
    <x v="7"/>
    <n v="2"/>
    <n v="2233.42"/>
    <n v="0.25"/>
    <x v="0"/>
    <x v="2"/>
    <x v="1"/>
    <n v="3350.13"/>
    <x v="9"/>
    <s v="low"/>
  </r>
  <r>
    <x v="252"/>
    <d v="2024-07-06T00:00:00"/>
    <x v="3"/>
    <s v="Bluetooth Speaker"/>
    <x v="0"/>
    <n v="1"/>
    <n v="5743.41"/>
    <n v="0.1"/>
    <x v="3"/>
    <x v="4"/>
    <x v="1"/>
    <n v="5169.07"/>
    <x v="6"/>
    <s v="low"/>
  </r>
  <r>
    <x v="253"/>
    <d v="2024-02-02T00:00:00"/>
    <x v="2"/>
    <s v="Notebook"/>
    <x v="7"/>
    <n v="6"/>
    <n v="1744.56"/>
    <n v="0"/>
    <x v="0"/>
    <x v="3"/>
    <x v="0"/>
    <n v="10467.36"/>
    <x v="10"/>
    <s v="medium"/>
  </r>
  <r>
    <x v="254"/>
    <d v="2024-08-24T00:00:00"/>
    <x v="2"/>
    <s v="Diary"/>
    <x v="3"/>
    <n v="6"/>
    <n v="6740.7"/>
    <n v="0.2"/>
    <x v="3"/>
    <x v="3"/>
    <x v="1"/>
    <n v="32355.360000000001"/>
    <x v="2"/>
    <s v="high"/>
  </r>
  <r>
    <x v="255"/>
    <d v="2024-12-14T00:00:00"/>
    <x v="1"/>
    <s v="Sneakers"/>
    <x v="2"/>
    <n v="3"/>
    <n v="4497.72"/>
    <n v="0.2"/>
    <x v="3"/>
    <x v="3"/>
    <x v="1"/>
    <n v="10794.53"/>
    <x v="4"/>
    <s v="medium"/>
  </r>
  <r>
    <x v="256"/>
    <d v="2024-01-29T00:00:00"/>
    <x v="3"/>
    <s v="Power Bank"/>
    <x v="3"/>
    <n v="6"/>
    <n v="1718.71"/>
    <n v="0.15"/>
    <x v="3"/>
    <x v="1"/>
    <x v="1"/>
    <n v="8765.42"/>
    <x v="1"/>
    <s v="low"/>
  </r>
  <r>
    <x v="257"/>
    <d v="2024-06-20T00:00:00"/>
    <x v="3"/>
    <s v="Power Bank"/>
    <x v="7"/>
    <n v="2"/>
    <n v="4218.0200000000004"/>
    <n v="0"/>
    <x v="0"/>
    <x v="2"/>
    <x v="1"/>
    <n v="8436.0400000000009"/>
    <x v="11"/>
    <s v="low"/>
  </r>
  <r>
    <x v="258"/>
    <d v="2024-12-14T00:00:00"/>
    <x v="2"/>
    <s v="Guide Book"/>
    <x v="0"/>
    <n v="1"/>
    <n v="2558.75"/>
    <n v="0.1"/>
    <x v="3"/>
    <x v="3"/>
    <x v="1"/>
    <n v="2302.88"/>
    <x v="4"/>
    <s v="low"/>
  </r>
  <r>
    <x v="259"/>
    <d v="2024-12-02T00:00:00"/>
    <x v="2"/>
    <s v="Comic"/>
    <x v="3"/>
    <n v="4"/>
    <n v="5722.51"/>
    <n v="0.05"/>
    <x v="0"/>
    <x v="3"/>
    <x v="1"/>
    <n v="21745.54"/>
    <x v="4"/>
    <s v="high"/>
  </r>
  <r>
    <x v="260"/>
    <d v="2024-07-28T00:00:00"/>
    <x v="3"/>
    <s v="Phone Cover"/>
    <x v="5"/>
    <n v="5"/>
    <n v="6613.59"/>
    <n v="0"/>
    <x v="0"/>
    <x v="4"/>
    <x v="1"/>
    <n v="33067.949999999997"/>
    <x v="6"/>
    <s v="high"/>
  </r>
  <r>
    <x v="261"/>
    <d v="2024-04-14T00:00:00"/>
    <x v="4"/>
    <s v="Hair Oil"/>
    <x v="6"/>
    <n v="1"/>
    <n v="1564.06"/>
    <n v="0"/>
    <x v="0"/>
    <x v="3"/>
    <x v="1"/>
    <n v="1564.06"/>
    <x v="8"/>
    <s v="low"/>
  </r>
  <r>
    <x v="262"/>
    <d v="2024-04-18T00:00:00"/>
    <x v="4"/>
    <s v="Lipstick"/>
    <x v="1"/>
    <n v="5"/>
    <n v="6730.68"/>
    <n v="0.05"/>
    <x v="1"/>
    <x v="3"/>
    <x v="1"/>
    <n v="31970.73"/>
    <x v="8"/>
    <s v="high"/>
  </r>
  <r>
    <x v="263"/>
    <d v="2024-12-17T00:00:00"/>
    <x v="1"/>
    <s v="Jeans"/>
    <x v="3"/>
    <n v="4"/>
    <n v="1365.47"/>
    <n v="0"/>
    <x v="1"/>
    <x v="4"/>
    <x v="1"/>
    <n v="5461.88"/>
    <x v="4"/>
    <s v="low"/>
  </r>
  <r>
    <x v="264"/>
    <d v="2024-05-12T00:00:00"/>
    <x v="2"/>
    <s v="Notebook"/>
    <x v="1"/>
    <n v="3"/>
    <n v="4457.54"/>
    <n v="0.1"/>
    <x v="0"/>
    <x v="2"/>
    <x v="1"/>
    <n v="12035.36"/>
    <x v="9"/>
    <s v="medium"/>
  </r>
  <r>
    <x v="265"/>
    <d v="2024-12-01T00:00:00"/>
    <x v="1"/>
    <s v="Jeans"/>
    <x v="6"/>
    <n v="5"/>
    <n v="5599.41"/>
    <n v="0.1"/>
    <x v="3"/>
    <x v="3"/>
    <x v="1"/>
    <n v="25197.35"/>
    <x v="4"/>
    <s v="high"/>
  </r>
  <r>
    <x v="266"/>
    <d v="2024-05-28T00:00:00"/>
    <x v="3"/>
    <s v="Power Bank"/>
    <x v="5"/>
    <n v="4"/>
    <n v="2881.4"/>
    <n v="0.25"/>
    <x v="0"/>
    <x v="3"/>
    <x v="1"/>
    <n v="8644.2000000000007"/>
    <x v="9"/>
    <s v="low"/>
  </r>
  <r>
    <x v="267"/>
    <d v="2024-04-26T00:00:00"/>
    <x v="1"/>
    <s v="Sneakers"/>
    <x v="1"/>
    <n v="5"/>
    <n v="7408.16"/>
    <n v="0"/>
    <x v="2"/>
    <x v="2"/>
    <x v="0"/>
    <n v="37040.800000000003"/>
    <x v="8"/>
    <s v="high"/>
  </r>
  <r>
    <x v="268"/>
    <d v="2024-08-18T00:00:00"/>
    <x v="1"/>
    <s v="Jeans"/>
    <x v="7"/>
    <n v="4"/>
    <n v="2092.06"/>
    <n v="0.15"/>
    <x v="0"/>
    <x v="0"/>
    <x v="0"/>
    <n v="7113"/>
    <x v="2"/>
    <s v="low"/>
  </r>
  <r>
    <x v="269"/>
    <d v="2024-10-31T00:00:00"/>
    <x v="2"/>
    <s v="Novel"/>
    <x v="4"/>
    <n v="4"/>
    <n v="3771.97"/>
    <n v="0"/>
    <x v="0"/>
    <x v="4"/>
    <x v="1"/>
    <n v="15087.88"/>
    <x v="5"/>
    <s v="medium"/>
  </r>
  <r>
    <x v="270"/>
    <d v="2024-07-03T00:00:00"/>
    <x v="3"/>
    <s v="Smartwatch"/>
    <x v="4"/>
    <n v="2"/>
    <n v="5352.55"/>
    <n v="0"/>
    <x v="0"/>
    <x v="2"/>
    <x v="0"/>
    <n v="10705.1"/>
    <x v="6"/>
    <s v="medium"/>
  </r>
  <r>
    <x v="271"/>
    <d v="2024-03-19T00:00:00"/>
    <x v="3"/>
    <s v="Power Bank"/>
    <x v="5"/>
    <n v="4"/>
    <n v="2273.1799999999998"/>
    <n v="0"/>
    <x v="0"/>
    <x v="2"/>
    <x v="1"/>
    <n v="9092.7199999999993"/>
    <x v="7"/>
    <s v="low"/>
  </r>
  <r>
    <x v="272"/>
    <d v="2024-03-06T00:00:00"/>
    <x v="0"/>
    <s v="Table Lamp"/>
    <x v="6"/>
    <n v="2"/>
    <n v="5853.66"/>
    <n v="0.1"/>
    <x v="0"/>
    <x v="4"/>
    <x v="1"/>
    <n v="10536.59"/>
    <x v="7"/>
    <s v="medium"/>
  </r>
  <r>
    <x v="273"/>
    <d v="2024-03-19T00:00:00"/>
    <x v="1"/>
    <s v="T-Shirt"/>
    <x v="4"/>
    <n v="3"/>
    <n v="7985.54"/>
    <n v="0.2"/>
    <x v="3"/>
    <x v="4"/>
    <x v="1"/>
    <n v="19165.3"/>
    <x v="7"/>
    <s v="medium"/>
  </r>
  <r>
    <x v="274"/>
    <d v="2024-05-05T00:00:00"/>
    <x v="1"/>
    <s v="Kurti"/>
    <x v="2"/>
    <n v="1"/>
    <n v="4853.55"/>
    <n v="0"/>
    <x v="0"/>
    <x v="3"/>
    <x v="1"/>
    <n v="4853.55"/>
    <x v="9"/>
    <s v="low"/>
  </r>
  <r>
    <x v="275"/>
    <d v="2024-06-11T00:00:00"/>
    <x v="2"/>
    <s v="Notebook"/>
    <x v="2"/>
    <n v="4"/>
    <n v="6324.83"/>
    <n v="0"/>
    <x v="0"/>
    <x v="2"/>
    <x v="1"/>
    <n v="25299.32"/>
    <x v="11"/>
    <s v="high"/>
  </r>
  <r>
    <x v="276"/>
    <d v="2024-12-17T00:00:00"/>
    <x v="1"/>
    <s v="Kurti"/>
    <x v="6"/>
    <n v="3"/>
    <n v="5712.49"/>
    <n v="0"/>
    <x v="0"/>
    <x v="3"/>
    <x v="0"/>
    <n v="17137.47"/>
    <x v="4"/>
    <s v="medium"/>
  </r>
  <r>
    <x v="277"/>
    <d v="2024-07-29T00:00:00"/>
    <x v="1"/>
    <s v="T-Shirt"/>
    <x v="7"/>
    <n v="1"/>
    <n v="5259.93"/>
    <n v="0.15"/>
    <x v="2"/>
    <x v="1"/>
    <x v="1"/>
    <n v="4470.9399999999996"/>
    <x v="6"/>
    <s v="low"/>
  </r>
  <r>
    <x v="278"/>
    <d v="2024-12-14T00:00:00"/>
    <x v="0"/>
    <s v="Bedsheet"/>
    <x v="3"/>
    <n v="5"/>
    <n v="1443.09"/>
    <n v="0.2"/>
    <x v="1"/>
    <x v="4"/>
    <x v="0"/>
    <n v="5772.36"/>
    <x v="4"/>
    <s v="low"/>
  </r>
  <r>
    <x v="279"/>
    <d v="2024-05-02T00:00:00"/>
    <x v="3"/>
    <s v="Smartwatch"/>
    <x v="6"/>
    <n v="2"/>
    <n v="4762.8599999999997"/>
    <n v="0.1"/>
    <x v="3"/>
    <x v="0"/>
    <x v="1"/>
    <n v="8573.15"/>
    <x v="9"/>
    <s v="low"/>
  </r>
  <r>
    <x v="280"/>
    <d v="2024-04-26T00:00:00"/>
    <x v="4"/>
    <s v="Hair Oil"/>
    <x v="5"/>
    <n v="6"/>
    <n v="5424.68"/>
    <n v="0.15"/>
    <x v="1"/>
    <x v="0"/>
    <x v="0"/>
    <n v="27665.868000000002"/>
    <x v="8"/>
    <s v="high"/>
  </r>
  <r>
    <x v="281"/>
    <d v="2024-07-29T00:00:00"/>
    <x v="3"/>
    <s v="Bluetooth Speaker"/>
    <x v="0"/>
    <n v="5"/>
    <n v="2500.75"/>
    <n v="0.05"/>
    <x v="0"/>
    <x v="3"/>
    <x v="1"/>
    <n v="11878.56"/>
    <x v="6"/>
    <s v="medium"/>
  </r>
  <r>
    <x v="282"/>
    <d v="2024-04-05T00:00:00"/>
    <x v="0"/>
    <s v="Bedsheet"/>
    <x v="1"/>
    <n v="6"/>
    <n v="7133.01"/>
    <n v="0.2"/>
    <x v="1"/>
    <x v="0"/>
    <x v="1"/>
    <n v="34238.449999999997"/>
    <x v="8"/>
    <s v="high"/>
  </r>
  <r>
    <x v="283"/>
    <d v="2024-03-18T00:00:00"/>
    <x v="4"/>
    <s v="Perfume"/>
    <x v="7"/>
    <n v="3"/>
    <n v="1464.22"/>
    <n v="0.15"/>
    <x v="2"/>
    <x v="4"/>
    <x v="1"/>
    <n v="3733.76"/>
    <x v="7"/>
    <s v="low"/>
  </r>
  <r>
    <x v="284"/>
    <d v="2024-01-01T00:00:00"/>
    <x v="1"/>
    <s v="Sneakers"/>
    <x v="2"/>
    <n v="2"/>
    <n v="964.37"/>
    <n v="0.1"/>
    <x v="3"/>
    <x v="4"/>
    <x v="1"/>
    <n v="1735.87"/>
    <x v="1"/>
    <s v="low"/>
  </r>
  <r>
    <x v="285"/>
    <d v="2024-02-08T00:00:00"/>
    <x v="1"/>
    <s v="Jeans"/>
    <x v="0"/>
    <n v="5"/>
    <n v="5048.54"/>
    <n v="0.25"/>
    <x v="0"/>
    <x v="0"/>
    <x v="0"/>
    <n v="18932.03"/>
    <x v="10"/>
    <s v="medium"/>
  </r>
  <r>
    <x v="286"/>
    <d v="2024-12-20T00:00:00"/>
    <x v="4"/>
    <s v="Hair Oil"/>
    <x v="7"/>
    <n v="1"/>
    <n v="597.29"/>
    <n v="0"/>
    <x v="2"/>
    <x v="4"/>
    <x v="1"/>
    <n v="597.29"/>
    <x v="4"/>
    <s v="low"/>
  </r>
  <r>
    <x v="287"/>
    <d v="2024-03-11T00:00:00"/>
    <x v="3"/>
    <s v="Smartwatch"/>
    <x v="3"/>
    <n v="1"/>
    <n v="7630.86"/>
    <n v="0.1"/>
    <x v="0"/>
    <x v="1"/>
    <x v="1"/>
    <n v="6867.77"/>
    <x v="7"/>
    <s v="low"/>
  </r>
  <r>
    <x v="288"/>
    <d v="2024-08-03T00:00:00"/>
    <x v="1"/>
    <s v="Jeans"/>
    <x v="2"/>
    <n v="5"/>
    <n v="7828.49"/>
    <n v="0"/>
    <x v="1"/>
    <x v="2"/>
    <x v="1"/>
    <n v="39142.449999999997"/>
    <x v="2"/>
    <s v="high"/>
  </r>
  <r>
    <x v="289"/>
    <d v="2024-01-25T00:00:00"/>
    <x v="1"/>
    <s v="Handbag"/>
    <x v="3"/>
    <n v="5"/>
    <n v="2875.87"/>
    <n v="0.05"/>
    <x v="0"/>
    <x v="1"/>
    <x v="1"/>
    <n v="13660.38"/>
    <x v="1"/>
    <s v="medium"/>
  </r>
  <r>
    <x v="290"/>
    <d v="2024-07-15T00:00:00"/>
    <x v="3"/>
    <s v="Phone Cover"/>
    <x v="1"/>
    <n v="3"/>
    <n v="7702.69"/>
    <n v="0.05"/>
    <x v="0"/>
    <x v="0"/>
    <x v="1"/>
    <n v="21952.67"/>
    <x v="6"/>
    <s v="high"/>
  </r>
  <r>
    <x v="291"/>
    <d v="2024-07-20T00:00:00"/>
    <x v="3"/>
    <s v="Smartwatch"/>
    <x v="7"/>
    <n v="3"/>
    <n v="3176.31"/>
    <n v="0.25"/>
    <x v="0"/>
    <x v="0"/>
    <x v="1"/>
    <n v="7146.7"/>
    <x v="6"/>
    <s v="low"/>
  </r>
  <r>
    <x v="292"/>
    <d v="2024-05-22T00:00:00"/>
    <x v="0"/>
    <s v="Bedsheet"/>
    <x v="4"/>
    <n v="5"/>
    <n v="3841.22"/>
    <n v="0.2"/>
    <x v="0"/>
    <x v="2"/>
    <x v="0"/>
    <n v="15364.88"/>
    <x v="9"/>
    <s v="medium"/>
  </r>
  <r>
    <x v="293"/>
    <d v="2024-01-22T00:00:00"/>
    <x v="0"/>
    <s v="Table Lamp"/>
    <x v="2"/>
    <n v="5"/>
    <n v="6639.17"/>
    <n v="0.1"/>
    <x v="0"/>
    <x v="4"/>
    <x v="0"/>
    <n v="29876.26"/>
    <x v="1"/>
    <s v="high"/>
  </r>
  <r>
    <x v="294"/>
    <d v="2024-06-06T00:00:00"/>
    <x v="2"/>
    <s v="Guide Book"/>
    <x v="5"/>
    <n v="2"/>
    <n v="5211.46"/>
    <n v="0"/>
    <x v="3"/>
    <x v="0"/>
    <x v="1"/>
    <n v="10422.92"/>
    <x v="11"/>
    <s v="medium"/>
  </r>
  <r>
    <x v="295"/>
    <d v="2024-12-30T00:00:00"/>
    <x v="0"/>
    <s v="Cushion"/>
    <x v="4"/>
    <n v="2"/>
    <n v="4324.57"/>
    <n v="0.2"/>
    <x v="1"/>
    <x v="0"/>
    <x v="0"/>
    <n v="6919.31"/>
    <x v="4"/>
    <s v="low"/>
  </r>
  <r>
    <x v="296"/>
    <d v="2024-10-22T00:00:00"/>
    <x v="2"/>
    <s v="Novel"/>
    <x v="6"/>
    <n v="4"/>
    <n v="3318.89"/>
    <n v="0.1"/>
    <x v="1"/>
    <x v="1"/>
    <x v="0"/>
    <n v="11948"/>
    <x v="5"/>
    <s v="medium"/>
  </r>
  <r>
    <x v="297"/>
    <d v="2024-05-27T00:00:00"/>
    <x v="0"/>
    <s v="Bedsheet"/>
    <x v="0"/>
    <n v="2"/>
    <n v="5232.5200000000004"/>
    <n v="0.2"/>
    <x v="2"/>
    <x v="4"/>
    <x v="1"/>
    <n v="8372.0300000000007"/>
    <x v="9"/>
    <s v="low"/>
  </r>
  <r>
    <x v="298"/>
    <d v="2024-06-07T00:00:00"/>
    <x v="2"/>
    <s v="Notebook"/>
    <x v="6"/>
    <n v="1"/>
    <n v="2973.97"/>
    <n v="0"/>
    <x v="0"/>
    <x v="1"/>
    <x v="0"/>
    <n v="2973.97"/>
    <x v="11"/>
    <s v="low"/>
  </r>
  <r>
    <x v="299"/>
    <d v="2024-05-20T00:00:00"/>
    <x v="4"/>
    <s v="Lipstick"/>
    <x v="3"/>
    <n v="5"/>
    <n v="613.94000000000005"/>
    <n v="0.25"/>
    <x v="2"/>
    <x v="3"/>
    <x v="1"/>
    <n v="2302.2800000000002"/>
    <x v="9"/>
    <s v="low"/>
  </r>
  <r>
    <x v="300"/>
    <d v="2024-06-18T00:00:00"/>
    <x v="1"/>
    <s v="Jeans"/>
    <x v="7"/>
    <n v="5"/>
    <n v="4612.3500000000004"/>
    <n v="0.1"/>
    <x v="2"/>
    <x v="4"/>
    <x v="0"/>
    <n v="20755.580000000002"/>
    <x v="11"/>
    <s v="high"/>
  </r>
  <r>
    <x v="301"/>
    <d v="2024-09-15T00:00:00"/>
    <x v="1"/>
    <s v="Kurti"/>
    <x v="2"/>
    <n v="3"/>
    <n v="3477.71"/>
    <n v="0"/>
    <x v="1"/>
    <x v="4"/>
    <x v="1"/>
    <n v="10433.129999999999"/>
    <x v="3"/>
    <s v="medium"/>
  </r>
  <r>
    <x v="302"/>
    <d v="2024-09-29T00:00:00"/>
    <x v="1"/>
    <s v="T-Shirt"/>
    <x v="7"/>
    <n v="3"/>
    <n v="5313.93"/>
    <n v="0.1"/>
    <x v="0"/>
    <x v="4"/>
    <x v="1"/>
    <n v="14347.61"/>
    <x v="3"/>
    <s v="medium"/>
  </r>
  <r>
    <x v="303"/>
    <d v="2024-02-27T00:00:00"/>
    <x v="1"/>
    <s v="Jeans"/>
    <x v="6"/>
    <n v="4"/>
    <n v="1449.71"/>
    <n v="0.1"/>
    <x v="0"/>
    <x v="1"/>
    <x v="1"/>
    <n v="5218.96"/>
    <x v="10"/>
    <s v="low"/>
  </r>
  <r>
    <x v="304"/>
    <d v="2024-01-12T00:00:00"/>
    <x v="1"/>
    <s v="Handbag"/>
    <x v="1"/>
    <n v="6"/>
    <n v="5821.88"/>
    <n v="0"/>
    <x v="0"/>
    <x v="4"/>
    <x v="1"/>
    <n v="34931.279999999999"/>
    <x v="1"/>
    <s v="high"/>
  </r>
  <r>
    <x v="305"/>
    <d v="2024-10-16T00:00:00"/>
    <x v="2"/>
    <s v="Comic"/>
    <x v="4"/>
    <n v="6"/>
    <n v="2628.08"/>
    <n v="0.15"/>
    <x v="0"/>
    <x v="3"/>
    <x v="1"/>
    <n v="13403.21"/>
    <x v="5"/>
    <s v="medium"/>
  </r>
  <r>
    <x v="306"/>
    <d v="2024-03-19T00:00:00"/>
    <x v="3"/>
    <s v="Smartwatch"/>
    <x v="5"/>
    <n v="3"/>
    <n v="6253.14"/>
    <n v="0.25"/>
    <x v="3"/>
    <x v="1"/>
    <x v="0"/>
    <n v="14069.57"/>
    <x v="7"/>
    <s v="medium"/>
  </r>
  <r>
    <x v="307"/>
    <d v="2024-09-17T00:00:00"/>
    <x v="2"/>
    <s v="Diary"/>
    <x v="1"/>
    <n v="4"/>
    <n v="1792.92"/>
    <n v="0.1"/>
    <x v="1"/>
    <x v="4"/>
    <x v="1"/>
    <n v="6454.51"/>
    <x v="3"/>
    <s v="low"/>
  </r>
  <r>
    <x v="308"/>
    <d v="2024-03-09T00:00:00"/>
    <x v="4"/>
    <s v="Lipstick"/>
    <x v="0"/>
    <n v="2"/>
    <n v="251.07"/>
    <n v="0.1"/>
    <x v="1"/>
    <x v="3"/>
    <x v="1"/>
    <n v="451.93"/>
    <x v="7"/>
    <s v="low"/>
  </r>
  <r>
    <x v="309"/>
    <d v="2024-06-14T00:00:00"/>
    <x v="3"/>
    <s v="Power Bank"/>
    <x v="5"/>
    <n v="3"/>
    <n v="5052.96"/>
    <n v="0.25"/>
    <x v="3"/>
    <x v="2"/>
    <x v="1"/>
    <n v="11369.16"/>
    <x v="11"/>
    <s v="medium"/>
  </r>
  <r>
    <x v="310"/>
    <d v="2024-04-12T00:00:00"/>
    <x v="3"/>
    <s v="Earbuds"/>
    <x v="4"/>
    <n v="4"/>
    <n v="3732.8"/>
    <n v="0.25"/>
    <x v="0"/>
    <x v="1"/>
    <x v="1"/>
    <n v="11198.4"/>
    <x v="8"/>
    <s v="medium"/>
  </r>
  <r>
    <x v="311"/>
    <d v="2024-03-01T00:00:00"/>
    <x v="4"/>
    <s v="Sunscreen"/>
    <x v="4"/>
    <n v="4"/>
    <n v="4852.71"/>
    <n v="0"/>
    <x v="1"/>
    <x v="1"/>
    <x v="0"/>
    <n v="19410.84"/>
    <x v="7"/>
    <s v="medium"/>
  </r>
  <r>
    <x v="312"/>
    <d v="2024-01-01T00:00:00"/>
    <x v="1"/>
    <s v="T-Shirt"/>
    <x v="6"/>
    <n v="1"/>
    <n v="3812.29"/>
    <n v="0.2"/>
    <x v="0"/>
    <x v="4"/>
    <x v="1"/>
    <n v="3049.83"/>
    <x v="1"/>
    <s v="low"/>
  </r>
  <r>
    <x v="313"/>
    <d v="2024-08-27T00:00:00"/>
    <x v="0"/>
    <s v="Bedsheet"/>
    <x v="4"/>
    <n v="1"/>
    <n v="3908.95"/>
    <n v="0"/>
    <x v="1"/>
    <x v="2"/>
    <x v="0"/>
    <n v="3908.95"/>
    <x v="2"/>
    <s v="low"/>
  </r>
  <r>
    <x v="314"/>
    <d v="2024-02-06T00:00:00"/>
    <x v="2"/>
    <s v="Guide Book"/>
    <x v="2"/>
    <n v="1"/>
    <n v="4513.7700000000004"/>
    <n v="0"/>
    <x v="2"/>
    <x v="3"/>
    <x v="1"/>
    <n v="4513.7700000000004"/>
    <x v="10"/>
    <s v="low"/>
  </r>
  <r>
    <x v="315"/>
    <d v="2024-10-13T00:00:00"/>
    <x v="4"/>
    <s v="Hair Oil"/>
    <x v="2"/>
    <n v="6"/>
    <n v="1786.99"/>
    <n v="0.05"/>
    <x v="2"/>
    <x v="1"/>
    <x v="1"/>
    <n v="10185.84"/>
    <x v="5"/>
    <s v="medium"/>
  </r>
  <r>
    <x v="316"/>
    <d v="2024-10-06T00:00:00"/>
    <x v="3"/>
    <s v="Phone Cover"/>
    <x v="5"/>
    <n v="5"/>
    <n v="2917.34"/>
    <n v="0"/>
    <x v="0"/>
    <x v="2"/>
    <x v="1"/>
    <n v="14586.7"/>
    <x v="5"/>
    <s v="medium"/>
  </r>
  <r>
    <x v="317"/>
    <d v="2024-03-16T00:00:00"/>
    <x v="0"/>
    <s v="Cushion"/>
    <x v="1"/>
    <n v="4"/>
    <n v="4910.45"/>
    <n v="0.15"/>
    <x v="0"/>
    <x v="4"/>
    <x v="1"/>
    <n v="16695.53"/>
    <x v="7"/>
    <s v="medium"/>
  </r>
  <r>
    <x v="318"/>
    <d v="2024-07-27T00:00:00"/>
    <x v="2"/>
    <s v="Guide Book"/>
    <x v="3"/>
    <n v="5"/>
    <n v="4659.92"/>
    <n v="0.1"/>
    <x v="1"/>
    <x v="3"/>
    <x v="1"/>
    <n v="20969.64"/>
    <x v="6"/>
    <s v="high"/>
  </r>
  <r>
    <x v="319"/>
    <d v="2024-11-12T00:00:00"/>
    <x v="4"/>
    <s v="Face Wash"/>
    <x v="4"/>
    <n v="3"/>
    <n v="3617.65"/>
    <n v="0.05"/>
    <x v="0"/>
    <x v="1"/>
    <x v="1"/>
    <n v="10310.299999999999"/>
    <x v="0"/>
    <s v="medium"/>
  </r>
  <r>
    <x v="320"/>
    <d v="2024-05-20T00:00:00"/>
    <x v="1"/>
    <s v="Sneakers"/>
    <x v="7"/>
    <n v="2"/>
    <n v="253.31"/>
    <n v="0"/>
    <x v="0"/>
    <x v="1"/>
    <x v="1"/>
    <n v="506.62"/>
    <x v="9"/>
    <s v="low"/>
  </r>
  <r>
    <x v="321"/>
    <d v="2024-02-23T00:00:00"/>
    <x v="3"/>
    <s v="Phone Cover"/>
    <x v="4"/>
    <n v="1"/>
    <n v="6629.72"/>
    <n v="0.15"/>
    <x v="3"/>
    <x v="1"/>
    <x v="1"/>
    <n v="5635.26"/>
    <x v="10"/>
    <s v="low"/>
  </r>
  <r>
    <x v="322"/>
    <d v="2024-07-27T00:00:00"/>
    <x v="2"/>
    <s v="Novel"/>
    <x v="6"/>
    <n v="5"/>
    <n v="5564.9"/>
    <n v="0"/>
    <x v="1"/>
    <x v="2"/>
    <x v="1"/>
    <n v="27824.5"/>
    <x v="6"/>
    <s v="high"/>
  </r>
  <r>
    <x v="323"/>
    <d v="2024-11-10T00:00:00"/>
    <x v="3"/>
    <s v="Power Bank"/>
    <x v="3"/>
    <n v="6"/>
    <n v="1456.5"/>
    <n v="0.1"/>
    <x v="3"/>
    <x v="1"/>
    <x v="1"/>
    <n v="7865.1"/>
    <x v="0"/>
    <s v="low"/>
  </r>
  <r>
    <x v="324"/>
    <d v="2024-12-01T00:00:00"/>
    <x v="2"/>
    <s v="Diary"/>
    <x v="4"/>
    <n v="1"/>
    <n v="4843.1899999999996"/>
    <n v="0.2"/>
    <x v="0"/>
    <x v="3"/>
    <x v="1"/>
    <n v="3874.55"/>
    <x v="4"/>
    <s v="low"/>
  </r>
  <r>
    <x v="325"/>
    <d v="2024-11-27T00:00:00"/>
    <x v="2"/>
    <s v="Novel"/>
    <x v="3"/>
    <n v="5"/>
    <n v="5547.18"/>
    <n v="0.1"/>
    <x v="3"/>
    <x v="1"/>
    <x v="1"/>
    <n v="24962.31"/>
    <x v="0"/>
    <s v="high"/>
  </r>
  <r>
    <x v="326"/>
    <d v="2024-06-14T00:00:00"/>
    <x v="3"/>
    <s v="Bluetooth Speaker"/>
    <x v="7"/>
    <n v="2"/>
    <n v="390.97"/>
    <n v="0.1"/>
    <x v="0"/>
    <x v="3"/>
    <x v="1"/>
    <n v="703.75"/>
    <x v="11"/>
    <s v="low"/>
  </r>
  <r>
    <x v="327"/>
    <d v="2024-12-03T00:00:00"/>
    <x v="3"/>
    <s v="Earbuds"/>
    <x v="4"/>
    <n v="6"/>
    <n v="4757.8100000000004"/>
    <n v="0.1"/>
    <x v="0"/>
    <x v="2"/>
    <x v="0"/>
    <n v="25692.17"/>
    <x v="4"/>
    <s v="high"/>
  </r>
  <r>
    <x v="328"/>
    <d v="2024-02-01T00:00:00"/>
    <x v="2"/>
    <s v="Diary"/>
    <x v="6"/>
    <n v="1"/>
    <n v="2472.6999999999998"/>
    <n v="0.1"/>
    <x v="0"/>
    <x v="2"/>
    <x v="1"/>
    <n v="2225.4299999999998"/>
    <x v="10"/>
    <s v="low"/>
  </r>
  <r>
    <x v="329"/>
    <d v="2024-09-24T00:00:00"/>
    <x v="0"/>
    <s v="Cushion"/>
    <x v="4"/>
    <n v="6"/>
    <n v="1025.06"/>
    <n v="0.1"/>
    <x v="0"/>
    <x v="1"/>
    <x v="1"/>
    <n v="5535.32"/>
    <x v="3"/>
    <s v="low"/>
  </r>
  <r>
    <x v="330"/>
    <d v="2024-11-24T00:00:00"/>
    <x v="4"/>
    <s v="Perfume"/>
    <x v="6"/>
    <n v="4"/>
    <n v="2213.9299999999998"/>
    <n v="0"/>
    <x v="0"/>
    <x v="0"/>
    <x v="1"/>
    <n v="8855.7199999999993"/>
    <x v="0"/>
    <s v="low"/>
  </r>
  <r>
    <x v="331"/>
    <d v="2024-08-23T00:00:00"/>
    <x v="4"/>
    <s v="Face Wash"/>
    <x v="5"/>
    <n v="5"/>
    <n v="5735.45"/>
    <n v="0"/>
    <x v="3"/>
    <x v="0"/>
    <x v="0"/>
    <n v="28677.25"/>
    <x v="2"/>
    <s v="high"/>
  </r>
  <r>
    <x v="332"/>
    <d v="2024-05-16T00:00:00"/>
    <x v="3"/>
    <s v="Power Bank"/>
    <x v="5"/>
    <n v="3"/>
    <n v="3634.76"/>
    <n v="0.1"/>
    <x v="0"/>
    <x v="4"/>
    <x v="1"/>
    <n v="9813.85"/>
    <x v="9"/>
    <s v="low"/>
  </r>
  <r>
    <x v="333"/>
    <d v="2024-09-25T00:00:00"/>
    <x v="3"/>
    <s v="Earbuds"/>
    <x v="0"/>
    <n v="1"/>
    <n v="2031.94"/>
    <n v="0.05"/>
    <x v="2"/>
    <x v="0"/>
    <x v="1"/>
    <n v="1930.34"/>
    <x v="3"/>
    <s v="low"/>
  </r>
  <r>
    <x v="334"/>
    <d v="2024-02-20T00:00:00"/>
    <x v="3"/>
    <s v="Bluetooth Speaker"/>
    <x v="7"/>
    <n v="2"/>
    <n v="2352.94"/>
    <n v="0.15"/>
    <x v="0"/>
    <x v="3"/>
    <x v="0"/>
    <n v="4000"/>
    <x v="10"/>
    <s v="low"/>
  </r>
  <r>
    <x v="335"/>
    <d v="2024-09-12T00:00:00"/>
    <x v="4"/>
    <s v="Face Wash"/>
    <x v="6"/>
    <n v="6"/>
    <n v="4898.6899999999996"/>
    <n v="0.15"/>
    <x v="0"/>
    <x v="2"/>
    <x v="1"/>
    <n v="24983.32"/>
    <x v="3"/>
    <s v="high"/>
  </r>
  <r>
    <x v="336"/>
    <d v="2024-02-11T00:00:00"/>
    <x v="1"/>
    <s v="T-Shirt"/>
    <x v="3"/>
    <n v="4"/>
    <n v="1853.2"/>
    <n v="0"/>
    <x v="0"/>
    <x v="4"/>
    <x v="1"/>
    <n v="7412.8"/>
    <x v="10"/>
    <s v="low"/>
  </r>
  <r>
    <x v="337"/>
    <d v="2024-12-13T00:00:00"/>
    <x v="3"/>
    <s v="Bluetooth Speaker"/>
    <x v="2"/>
    <n v="2"/>
    <n v="248.99"/>
    <n v="0.25"/>
    <x v="0"/>
    <x v="1"/>
    <x v="1"/>
    <n v="373.49"/>
    <x v="4"/>
    <s v="low"/>
  </r>
  <r>
    <x v="338"/>
    <d v="2024-06-07T00:00:00"/>
    <x v="1"/>
    <s v="Sneakers"/>
    <x v="6"/>
    <n v="4"/>
    <n v="2277.19"/>
    <n v="0.15"/>
    <x v="0"/>
    <x v="2"/>
    <x v="1"/>
    <n v="7742.4459999999999"/>
    <x v="11"/>
    <s v="low"/>
  </r>
  <r>
    <x v="339"/>
    <d v="2024-11-07T00:00:00"/>
    <x v="1"/>
    <s v="T-Shirt"/>
    <x v="4"/>
    <n v="3"/>
    <n v="4912.2"/>
    <n v="0.25"/>
    <x v="2"/>
    <x v="2"/>
    <x v="1"/>
    <n v="11052.45"/>
    <x v="0"/>
    <s v="medium"/>
  </r>
  <r>
    <x v="340"/>
    <d v="2024-10-24T00:00:00"/>
    <x v="1"/>
    <s v="Kurti"/>
    <x v="4"/>
    <n v="3"/>
    <n v="7109.23"/>
    <n v="0"/>
    <x v="0"/>
    <x v="0"/>
    <x v="1"/>
    <n v="21327.69"/>
    <x v="5"/>
    <s v="high"/>
  </r>
  <r>
    <x v="341"/>
    <d v="2024-05-17T00:00:00"/>
    <x v="2"/>
    <s v="Notebook"/>
    <x v="4"/>
    <n v="6"/>
    <n v="3350.84"/>
    <n v="0"/>
    <x v="3"/>
    <x v="2"/>
    <x v="1"/>
    <n v="20105.04"/>
    <x v="9"/>
    <s v="high"/>
  </r>
  <r>
    <x v="342"/>
    <d v="2024-09-28T00:00:00"/>
    <x v="1"/>
    <s v="Sneakers"/>
    <x v="5"/>
    <n v="4"/>
    <n v="6813.2"/>
    <n v="0"/>
    <x v="3"/>
    <x v="4"/>
    <x v="1"/>
    <n v="27252.799999999999"/>
    <x v="3"/>
    <s v="high"/>
  </r>
  <r>
    <x v="343"/>
    <d v="2024-10-19T00:00:00"/>
    <x v="4"/>
    <s v="Face Wash"/>
    <x v="1"/>
    <n v="4"/>
    <n v="1574.97"/>
    <n v="0.1"/>
    <x v="1"/>
    <x v="3"/>
    <x v="0"/>
    <n v="5669.89"/>
    <x v="5"/>
    <s v="low"/>
  </r>
  <r>
    <x v="344"/>
    <d v="2024-12-10T00:00:00"/>
    <x v="2"/>
    <s v="Guide Book"/>
    <x v="6"/>
    <n v="3"/>
    <n v="6426.84"/>
    <n v="0"/>
    <x v="3"/>
    <x v="1"/>
    <x v="1"/>
    <n v="19280.52"/>
    <x v="4"/>
    <s v="medium"/>
  </r>
  <r>
    <x v="345"/>
    <d v="2024-02-15T00:00:00"/>
    <x v="0"/>
    <s v="Wall Clock"/>
    <x v="0"/>
    <n v="2"/>
    <n v="4408.96"/>
    <n v="0.2"/>
    <x v="0"/>
    <x v="0"/>
    <x v="1"/>
    <n v="7054.34"/>
    <x v="10"/>
    <s v="low"/>
  </r>
  <r>
    <x v="346"/>
    <d v="2024-05-16T00:00:00"/>
    <x v="1"/>
    <s v="Kurti"/>
    <x v="6"/>
    <n v="1"/>
    <n v="430.01"/>
    <n v="0.05"/>
    <x v="3"/>
    <x v="2"/>
    <x v="1"/>
    <n v="408.51"/>
    <x v="9"/>
    <s v="low"/>
  </r>
  <r>
    <x v="347"/>
    <d v="2024-03-30T00:00:00"/>
    <x v="0"/>
    <s v="Table Lamp"/>
    <x v="7"/>
    <n v="4"/>
    <n v="5590.98"/>
    <n v="0.05"/>
    <x v="3"/>
    <x v="1"/>
    <x v="1"/>
    <n v="21245.72"/>
    <x v="7"/>
    <s v="high"/>
  </r>
  <r>
    <x v="348"/>
    <d v="2024-06-03T00:00:00"/>
    <x v="2"/>
    <s v="Notebook"/>
    <x v="7"/>
    <n v="6"/>
    <n v="2157.7600000000002"/>
    <n v="0"/>
    <x v="2"/>
    <x v="3"/>
    <x v="1"/>
    <n v="12946.56"/>
    <x v="11"/>
    <s v="medium"/>
  </r>
  <r>
    <x v="349"/>
    <d v="2024-02-05T00:00:00"/>
    <x v="2"/>
    <s v="Comic"/>
    <x v="2"/>
    <n v="1"/>
    <n v="6721.16"/>
    <n v="0"/>
    <x v="1"/>
    <x v="1"/>
    <x v="0"/>
    <n v="6721.16"/>
    <x v="10"/>
    <s v="low"/>
  </r>
  <r>
    <x v="350"/>
    <d v="2024-02-15T00:00:00"/>
    <x v="3"/>
    <s v="Earbuds"/>
    <x v="5"/>
    <n v="2"/>
    <n v="1316.64"/>
    <n v="0.15"/>
    <x v="0"/>
    <x v="2"/>
    <x v="1"/>
    <n v="2238.29"/>
    <x v="10"/>
    <s v="low"/>
  </r>
  <r>
    <x v="351"/>
    <d v="2024-03-24T00:00:00"/>
    <x v="3"/>
    <s v="Earbuds"/>
    <x v="1"/>
    <n v="3"/>
    <n v="867.45"/>
    <n v="0"/>
    <x v="1"/>
    <x v="4"/>
    <x v="1"/>
    <n v="2602.35"/>
    <x v="7"/>
    <s v="low"/>
  </r>
  <r>
    <x v="352"/>
    <d v="2024-03-19T00:00:00"/>
    <x v="1"/>
    <s v="Kurti"/>
    <x v="2"/>
    <n v="6"/>
    <n v="3469.12"/>
    <n v="0.1"/>
    <x v="1"/>
    <x v="3"/>
    <x v="1"/>
    <n v="18733.25"/>
    <x v="7"/>
    <s v="medium"/>
  </r>
  <r>
    <x v="353"/>
    <d v="2024-04-28T00:00:00"/>
    <x v="1"/>
    <s v="Sneakers"/>
    <x v="3"/>
    <n v="5"/>
    <n v="882.58"/>
    <n v="0.25"/>
    <x v="2"/>
    <x v="0"/>
    <x v="1"/>
    <n v="3309.68"/>
    <x v="8"/>
    <s v="low"/>
  </r>
  <r>
    <x v="354"/>
    <d v="2024-09-24T00:00:00"/>
    <x v="0"/>
    <s v="Curtain"/>
    <x v="0"/>
    <n v="5"/>
    <n v="2755"/>
    <n v="0"/>
    <x v="0"/>
    <x v="0"/>
    <x v="1"/>
    <n v="13775"/>
    <x v="3"/>
    <s v="medium"/>
  </r>
  <r>
    <x v="355"/>
    <d v="2024-12-05T00:00:00"/>
    <x v="1"/>
    <s v="Kurti"/>
    <x v="1"/>
    <n v="3"/>
    <n v="1180.1400000000001"/>
    <n v="0"/>
    <x v="0"/>
    <x v="2"/>
    <x v="1"/>
    <n v="3540.42"/>
    <x v="4"/>
    <s v="low"/>
  </r>
  <r>
    <x v="356"/>
    <d v="2024-01-29T00:00:00"/>
    <x v="0"/>
    <s v="Curtain"/>
    <x v="1"/>
    <n v="5"/>
    <n v="2626.69"/>
    <n v="0.1"/>
    <x v="0"/>
    <x v="1"/>
    <x v="1"/>
    <n v="11820.11"/>
    <x v="1"/>
    <s v="medium"/>
  </r>
  <r>
    <x v="357"/>
    <d v="2024-03-02T00:00:00"/>
    <x v="3"/>
    <s v="Power Bank"/>
    <x v="7"/>
    <n v="5"/>
    <n v="5789.15"/>
    <n v="0.15"/>
    <x v="1"/>
    <x v="3"/>
    <x v="1"/>
    <n v="24603.89"/>
    <x v="7"/>
    <s v="high"/>
  </r>
  <r>
    <x v="358"/>
    <d v="2024-05-09T00:00:00"/>
    <x v="4"/>
    <s v="Hair Oil"/>
    <x v="5"/>
    <n v="6"/>
    <n v="4181.41"/>
    <n v="0.25"/>
    <x v="0"/>
    <x v="4"/>
    <x v="1"/>
    <n v="18816.349999999999"/>
    <x v="9"/>
    <s v="medium"/>
  </r>
  <r>
    <x v="359"/>
    <d v="2024-02-23T00:00:00"/>
    <x v="0"/>
    <s v="Curtain"/>
    <x v="2"/>
    <n v="4"/>
    <n v="839.71"/>
    <n v="0.1"/>
    <x v="0"/>
    <x v="0"/>
    <x v="0"/>
    <n v="3022.96"/>
    <x v="10"/>
    <s v="low"/>
  </r>
  <r>
    <x v="360"/>
    <d v="2024-08-11T00:00:00"/>
    <x v="0"/>
    <s v="Bedsheet"/>
    <x v="7"/>
    <n v="5"/>
    <n v="822.75"/>
    <n v="0.2"/>
    <x v="1"/>
    <x v="1"/>
    <x v="0"/>
    <n v="3291"/>
    <x v="2"/>
    <s v="low"/>
  </r>
  <r>
    <x v="361"/>
    <d v="2024-09-29T00:00:00"/>
    <x v="3"/>
    <s v="Smartwatch"/>
    <x v="4"/>
    <n v="5"/>
    <n v="6689.77"/>
    <n v="0.05"/>
    <x v="0"/>
    <x v="3"/>
    <x v="1"/>
    <n v="31776.41"/>
    <x v="3"/>
    <s v="high"/>
  </r>
  <r>
    <x v="362"/>
    <d v="2024-02-16T00:00:00"/>
    <x v="4"/>
    <s v="Sunscreen"/>
    <x v="5"/>
    <n v="3"/>
    <n v="7552.2"/>
    <n v="0.2"/>
    <x v="3"/>
    <x v="0"/>
    <x v="1"/>
    <n v="18125.28"/>
    <x v="10"/>
    <s v="medium"/>
  </r>
  <r>
    <x v="363"/>
    <d v="2024-02-24T00:00:00"/>
    <x v="1"/>
    <s v="Kurti"/>
    <x v="3"/>
    <n v="5"/>
    <n v="2809.98"/>
    <n v="0.1"/>
    <x v="0"/>
    <x v="4"/>
    <x v="1"/>
    <n v="12644.91"/>
    <x v="10"/>
    <s v="medium"/>
  </r>
  <r>
    <x v="364"/>
    <d v="2024-12-15T00:00:00"/>
    <x v="0"/>
    <s v="Wall Clock"/>
    <x v="7"/>
    <n v="2"/>
    <n v="5328.26"/>
    <n v="0"/>
    <x v="0"/>
    <x v="4"/>
    <x v="0"/>
    <n v="10656.52"/>
    <x v="4"/>
    <s v="medium"/>
  </r>
  <r>
    <x v="365"/>
    <d v="2024-06-11T00:00:00"/>
    <x v="3"/>
    <s v="Smartwatch"/>
    <x v="6"/>
    <n v="3"/>
    <n v="7604.43"/>
    <n v="0.1"/>
    <x v="0"/>
    <x v="3"/>
    <x v="1"/>
    <n v="20531.96"/>
    <x v="11"/>
    <s v="high"/>
  </r>
  <r>
    <x v="366"/>
    <d v="2024-03-28T00:00:00"/>
    <x v="2"/>
    <s v="Notebook"/>
    <x v="2"/>
    <n v="2"/>
    <n v="6532.17"/>
    <n v="0.1"/>
    <x v="2"/>
    <x v="4"/>
    <x v="1"/>
    <n v="11757.91"/>
    <x v="7"/>
    <s v="medium"/>
  </r>
  <r>
    <x v="367"/>
    <d v="2024-06-12T00:00:00"/>
    <x v="3"/>
    <s v="Smartwatch"/>
    <x v="4"/>
    <n v="2"/>
    <n v="6878.83"/>
    <n v="0"/>
    <x v="2"/>
    <x v="1"/>
    <x v="1"/>
    <n v="13757.66"/>
    <x v="11"/>
    <s v="medium"/>
  </r>
  <r>
    <x v="368"/>
    <d v="2024-02-21T00:00:00"/>
    <x v="0"/>
    <s v="Wall Clock"/>
    <x v="5"/>
    <n v="1"/>
    <n v="2718.02"/>
    <n v="0"/>
    <x v="0"/>
    <x v="1"/>
    <x v="1"/>
    <n v="2718.02"/>
    <x v="10"/>
    <s v="low"/>
  </r>
  <r>
    <x v="369"/>
    <d v="2024-07-12T00:00:00"/>
    <x v="4"/>
    <s v="Perfume"/>
    <x v="3"/>
    <n v="3"/>
    <n v="5163.2700000000004"/>
    <n v="0.25"/>
    <x v="0"/>
    <x v="4"/>
    <x v="0"/>
    <n v="11617.36"/>
    <x v="6"/>
    <s v="medium"/>
  </r>
  <r>
    <x v="370"/>
    <d v="2024-09-04T00:00:00"/>
    <x v="2"/>
    <s v="Diary"/>
    <x v="5"/>
    <n v="4"/>
    <n v="3418.85"/>
    <n v="0.1"/>
    <x v="0"/>
    <x v="3"/>
    <x v="0"/>
    <n v="12307.86"/>
    <x v="3"/>
    <s v="medium"/>
  </r>
  <r>
    <x v="371"/>
    <d v="2024-01-13T00:00:00"/>
    <x v="4"/>
    <s v="Sunscreen"/>
    <x v="0"/>
    <n v="6"/>
    <n v="1178.27"/>
    <n v="0"/>
    <x v="0"/>
    <x v="1"/>
    <x v="0"/>
    <n v="7069.62"/>
    <x v="1"/>
    <s v="low"/>
  </r>
  <r>
    <x v="372"/>
    <d v="2024-03-21T00:00:00"/>
    <x v="1"/>
    <s v="Jeans"/>
    <x v="0"/>
    <n v="4"/>
    <n v="5150.0200000000004"/>
    <n v="0"/>
    <x v="3"/>
    <x v="1"/>
    <x v="1"/>
    <n v="20600.080000000002"/>
    <x v="7"/>
    <s v="high"/>
  </r>
  <r>
    <x v="373"/>
    <d v="2024-12-08T00:00:00"/>
    <x v="2"/>
    <s v="Diary"/>
    <x v="2"/>
    <n v="2"/>
    <n v="4898.18"/>
    <n v="0.2"/>
    <x v="2"/>
    <x v="3"/>
    <x v="1"/>
    <n v="7837.09"/>
    <x v="4"/>
    <s v="low"/>
  </r>
  <r>
    <x v="374"/>
    <d v="2024-09-15T00:00:00"/>
    <x v="3"/>
    <s v="Earbuds"/>
    <x v="6"/>
    <n v="1"/>
    <n v="7225.68"/>
    <n v="0.1"/>
    <x v="2"/>
    <x v="0"/>
    <x v="0"/>
    <n v="6503.11"/>
    <x v="3"/>
    <s v="low"/>
  </r>
  <r>
    <x v="375"/>
    <d v="2024-11-05T00:00:00"/>
    <x v="4"/>
    <s v="Lipstick"/>
    <x v="1"/>
    <n v="3"/>
    <n v="1985.18"/>
    <n v="0.1"/>
    <x v="2"/>
    <x v="1"/>
    <x v="1"/>
    <n v="5359.99"/>
    <x v="0"/>
    <s v="low"/>
  </r>
  <r>
    <x v="376"/>
    <d v="2024-09-21T00:00:00"/>
    <x v="2"/>
    <s v="Comic"/>
    <x v="6"/>
    <n v="2"/>
    <n v="1972.43"/>
    <n v="0.05"/>
    <x v="0"/>
    <x v="4"/>
    <x v="1"/>
    <n v="3747.62"/>
    <x v="3"/>
    <s v="low"/>
  </r>
  <r>
    <x v="377"/>
    <d v="2024-09-07T00:00:00"/>
    <x v="0"/>
    <s v="Table Lamp"/>
    <x v="2"/>
    <n v="1"/>
    <n v="3624.61"/>
    <n v="0"/>
    <x v="0"/>
    <x v="1"/>
    <x v="1"/>
    <n v="3624.61"/>
    <x v="3"/>
    <s v="low"/>
  </r>
  <r>
    <x v="378"/>
    <d v="2024-05-05T00:00:00"/>
    <x v="2"/>
    <s v="Comic"/>
    <x v="0"/>
    <n v="2"/>
    <n v="1937.27"/>
    <n v="0.2"/>
    <x v="0"/>
    <x v="3"/>
    <x v="1"/>
    <n v="3099.63"/>
    <x v="9"/>
    <s v="low"/>
  </r>
  <r>
    <x v="379"/>
    <d v="2024-03-04T00:00:00"/>
    <x v="1"/>
    <s v="Handbag"/>
    <x v="7"/>
    <n v="5"/>
    <n v="2474.65"/>
    <n v="0.2"/>
    <x v="3"/>
    <x v="2"/>
    <x v="1"/>
    <n v="9898.6"/>
    <x v="7"/>
    <s v="low"/>
  </r>
  <r>
    <x v="380"/>
    <d v="2024-10-30T00:00:00"/>
    <x v="2"/>
    <s v="Notebook"/>
    <x v="3"/>
    <n v="5"/>
    <n v="1285.52"/>
    <n v="0.05"/>
    <x v="0"/>
    <x v="2"/>
    <x v="1"/>
    <n v="6106.22"/>
    <x v="5"/>
    <s v="low"/>
  </r>
  <r>
    <x v="381"/>
    <d v="2024-11-26T00:00:00"/>
    <x v="0"/>
    <s v="Cushion"/>
    <x v="0"/>
    <n v="2"/>
    <n v="3802.54"/>
    <n v="0"/>
    <x v="0"/>
    <x v="0"/>
    <x v="1"/>
    <n v="7605.08"/>
    <x v="0"/>
    <s v="low"/>
  </r>
  <r>
    <x v="382"/>
    <d v="2024-10-10T00:00:00"/>
    <x v="2"/>
    <s v="Comic"/>
    <x v="4"/>
    <n v="6"/>
    <n v="5352.49"/>
    <n v="0"/>
    <x v="1"/>
    <x v="4"/>
    <x v="1"/>
    <n v="32114.94"/>
    <x v="5"/>
    <s v="high"/>
  </r>
  <r>
    <x v="383"/>
    <d v="2024-11-29T00:00:00"/>
    <x v="0"/>
    <s v="Wall Clock"/>
    <x v="0"/>
    <n v="2"/>
    <n v="2392.4"/>
    <n v="0.05"/>
    <x v="0"/>
    <x v="4"/>
    <x v="0"/>
    <n v="4545.5600000000004"/>
    <x v="0"/>
    <s v="low"/>
  </r>
  <r>
    <x v="384"/>
    <d v="2024-11-23T00:00:00"/>
    <x v="0"/>
    <s v="Curtain"/>
    <x v="7"/>
    <n v="4"/>
    <n v="1062.57"/>
    <n v="0.1"/>
    <x v="3"/>
    <x v="0"/>
    <x v="0"/>
    <n v="3825.2519999999995"/>
    <x v="0"/>
    <s v="low"/>
  </r>
  <r>
    <x v="385"/>
    <d v="2024-05-21T00:00:00"/>
    <x v="0"/>
    <s v="Curtain"/>
    <x v="2"/>
    <n v="3"/>
    <n v="2410.3200000000002"/>
    <n v="0.25"/>
    <x v="0"/>
    <x v="1"/>
    <x v="1"/>
    <n v="5423.22"/>
    <x v="9"/>
    <s v="low"/>
  </r>
  <r>
    <x v="386"/>
    <d v="2024-01-30T00:00:00"/>
    <x v="0"/>
    <s v="Wall Clock"/>
    <x v="6"/>
    <n v="4"/>
    <n v="2221.11"/>
    <n v="0"/>
    <x v="0"/>
    <x v="0"/>
    <x v="1"/>
    <n v="8884.44"/>
    <x v="1"/>
    <s v="low"/>
  </r>
  <r>
    <x v="387"/>
    <d v="2024-08-04T00:00:00"/>
    <x v="3"/>
    <s v="Bluetooth Speaker"/>
    <x v="0"/>
    <n v="1"/>
    <n v="5092.1000000000004"/>
    <n v="0.05"/>
    <x v="2"/>
    <x v="3"/>
    <x v="0"/>
    <n v="4837.49"/>
    <x v="2"/>
    <s v="low"/>
  </r>
  <r>
    <x v="388"/>
    <d v="2024-08-25T00:00:00"/>
    <x v="0"/>
    <s v="Wall Clock"/>
    <x v="5"/>
    <n v="2"/>
    <n v="990.84"/>
    <n v="0.1"/>
    <x v="2"/>
    <x v="0"/>
    <x v="1"/>
    <n v="1783.51"/>
    <x v="2"/>
    <s v="low"/>
  </r>
  <r>
    <x v="389"/>
    <d v="2024-08-16T00:00:00"/>
    <x v="4"/>
    <s v="Hair Oil"/>
    <x v="1"/>
    <n v="2"/>
    <n v="3942.14"/>
    <n v="0"/>
    <x v="1"/>
    <x v="2"/>
    <x v="0"/>
    <n v="7884.28"/>
    <x v="2"/>
    <s v="low"/>
  </r>
  <r>
    <x v="390"/>
    <d v="2024-08-13T00:00:00"/>
    <x v="4"/>
    <s v="Sunscreen"/>
    <x v="2"/>
    <n v="5"/>
    <n v="6358.68"/>
    <n v="0"/>
    <x v="3"/>
    <x v="4"/>
    <x v="1"/>
    <n v="31793.4"/>
    <x v="2"/>
    <s v="high"/>
  </r>
  <r>
    <x v="391"/>
    <d v="2024-09-11T00:00:00"/>
    <x v="3"/>
    <s v="Phone Cover"/>
    <x v="4"/>
    <n v="2"/>
    <n v="5553.6"/>
    <n v="0.05"/>
    <x v="1"/>
    <x v="3"/>
    <x v="1"/>
    <n v="10551.84"/>
    <x v="3"/>
    <s v="medium"/>
  </r>
  <r>
    <x v="392"/>
    <d v="2024-12-05T00:00:00"/>
    <x v="4"/>
    <s v="Lipstick"/>
    <x v="0"/>
    <n v="4"/>
    <n v="2770"/>
    <n v="0.25"/>
    <x v="2"/>
    <x v="2"/>
    <x v="1"/>
    <n v="8310"/>
    <x v="4"/>
    <s v="low"/>
  </r>
  <r>
    <x v="393"/>
    <d v="2024-06-11T00:00:00"/>
    <x v="2"/>
    <s v="Novel"/>
    <x v="7"/>
    <n v="6"/>
    <n v="6096.81"/>
    <n v="0.1"/>
    <x v="2"/>
    <x v="3"/>
    <x v="1"/>
    <n v="32922.769999999997"/>
    <x v="11"/>
    <s v="high"/>
  </r>
  <r>
    <x v="394"/>
    <d v="2024-02-12T00:00:00"/>
    <x v="3"/>
    <s v="Power Bank"/>
    <x v="0"/>
    <n v="5"/>
    <n v="3402.55"/>
    <n v="0.1"/>
    <x v="2"/>
    <x v="1"/>
    <x v="0"/>
    <n v="15311.48"/>
    <x v="10"/>
    <s v="medium"/>
  </r>
  <r>
    <x v="395"/>
    <d v="2024-11-06T00:00:00"/>
    <x v="4"/>
    <s v="Perfume"/>
    <x v="5"/>
    <n v="4"/>
    <n v="3618.11"/>
    <n v="0.1"/>
    <x v="0"/>
    <x v="2"/>
    <x v="1"/>
    <n v="13025.2"/>
    <x v="0"/>
    <s v="medium"/>
  </r>
  <r>
    <x v="396"/>
    <d v="2024-07-08T00:00:00"/>
    <x v="3"/>
    <s v="Smartwatch"/>
    <x v="1"/>
    <n v="2"/>
    <n v="7371.56"/>
    <n v="0.2"/>
    <x v="2"/>
    <x v="2"/>
    <x v="1"/>
    <n v="11794.5"/>
    <x v="6"/>
    <s v="medium"/>
  </r>
  <r>
    <x v="397"/>
    <d v="2024-03-15T00:00:00"/>
    <x v="4"/>
    <s v="Face Wash"/>
    <x v="2"/>
    <n v="6"/>
    <n v="2467.06"/>
    <n v="0.05"/>
    <x v="0"/>
    <x v="3"/>
    <x v="1"/>
    <n v="14062.24"/>
    <x v="7"/>
    <s v="medium"/>
  </r>
  <r>
    <x v="398"/>
    <d v="2024-02-11T00:00:00"/>
    <x v="4"/>
    <s v="Face Wash"/>
    <x v="5"/>
    <n v="1"/>
    <n v="1840.98"/>
    <n v="0.25"/>
    <x v="1"/>
    <x v="1"/>
    <x v="0"/>
    <n v="1380.74"/>
    <x v="10"/>
    <s v="low"/>
  </r>
  <r>
    <x v="399"/>
    <d v="2024-06-21T00:00:00"/>
    <x v="1"/>
    <s v="Handbag"/>
    <x v="1"/>
    <n v="2"/>
    <n v="1435.79"/>
    <n v="0.1"/>
    <x v="3"/>
    <x v="1"/>
    <x v="1"/>
    <n v="2584.42"/>
    <x v="11"/>
    <s v="low"/>
  </r>
  <r>
    <x v="400"/>
    <d v="2024-04-18T00:00:00"/>
    <x v="3"/>
    <s v="Bluetooth Speaker"/>
    <x v="3"/>
    <n v="1"/>
    <n v="3418.16"/>
    <n v="0.25"/>
    <x v="0"/>
    <x v="4"/>
    <x v="1"/>
    <n v="2563.62"/>
    <x v="8"/>
    <s v="low"/>
  </r>
  <r>
    <x v="401"/>
    <d v="2024-10-10T00:00:00"/>
    <x v="0"/>
    <s v="Wall Clock"/>
    <x v="5"/>
    <n v="3"/>
    <n v="3330.38"/>
    <n v="0.05"/>
    <x v="0"/>
    <x v="3"/>
    <x v="1"/>
    <n v="9491.58"/>
    <x v="5"/>
    <s v="low"/>
  </r>
  <r>
    <x v="402"/>
    <d v="2024-06-24T00:00:00"/>
    <x v="2"/>
    <s v="Comic"/>
    <x v="4"/>
    <n v="1"/>
    <n v="3036.27"/>
    <n v="0"/>
    <x v="0"/>
    <x v="1"/>
    <x v="1"/>
    <n v="3036.27"/>
    <x v="11"/>
    <s v="low"/>
  </r>
  <r>
    <x v="403"/>
    <d v="2024-08-22T00:00:00"/>
    <x v="3"/>
    <s v="Smartwatch"/>
    <x v="6"/>
    <n v="1"/>
    <n v="7660.63"/>
    <n v="0.25"/>
    <x v="1"/>
    <x v="0"/>
    <x v="1"/>
    <n v="5745.47"/>
    <x v="2"/>
    <s v="low"/>
  </r>
  <r>
    <x v="404"/>
    <d v="2024-04-06T00:00:00"/>
    <x v="2"/>
    <s v="Notebook"/>
    <x v="7"/>
    <n v="5"/>
    <n v="1644.8"/>
    <n v="0.1"/>
    <x v="1"/>
    <x v="4"/>
    <x v="0"/>
    <n v="7401.6"/>
    <x v="8"/>
    <s v="low"/>
  </r>
  <r>
    <x v="405"/>
    <d v="2024-05-01T00:00:00"/>
    <x v="1"/>
    <s v="Handbag"/>
    <x v="5"/>
    <n v="6"/>
    <n v="1016.34"/>
    <n v="0.1"/>
    <x v="0"/>
    <x v="3"/>
    <x v="1"/>
    <n v="5488.2359999999999"/>
    <x v="9"/>
    <s v="low"/>
  </r>
  <r>
    <x v="406"/>
    <d v="2024-10-18T00:00:00"/>
    <x v="3"/>
    <s v="Smartwatch"/>
    <x v="7"/>
    <n v="6"/>
    <n v="219.41"/>
    <n v="0.2"/>
    <x v="0"/>
    <x v="1"/>
    <x v="1"/>
    <n v="1053.1680000000001"/>
    <x v="5"/>
    <s v="low"/>
  </r>
  <r>
    <x v="407"/>
    <d v="2024-03-03T00:00:00"/>
    <x v="1"/>
    <s v="T-Shirt"/>
    <x v="6"/>
    <n v="3"/>
    <n v="4745.96"/>
    <n v="0.15"/>
    <x v="1"/>
    <x v="0"/>
    <x v="0"/>
    <n v="12102.2"/>
    <x v="7"/>
    <s v="medium"/>
  </r>
  <r>
    <x v="408"/>
    <d v="2024-08-07T00:00:00"/>
    <x v="0"/>
    <s v="Curtain"/>
    <x v="4"/>
    <n v="3"/>
    <n v="6985.91"/>
    <n v="0"/>
    <x v="0"/>
    <x v="1"/>
    <x v="1"/>
    <n v="20957.73"/>
    <x v="2"/>
    <s v="high"/>
  </r>
  <r>
    <x v="409"/>
    <d v="2024-07-02T00:00:00"/>
    <x v="0"/>
    <s v="Curtain"/>
    <x v="4"/>
    <n v="3"/>
    <n v="2152.29"/>
    <n v="0.05"/>
    <x v="0"/>
    <x v="1"/>
    <x v="1"/>
    <n v="6134.03"/>
    <x v="6"/>
    <s v="low"/>
  </r>
  <r>
    <x v="410"/>
    <d v="2024-10-13T00:00:00"/>
    <x v="2"/>
    <s v="Diary"/>
    <x v="5"/>
    <n v="4"/>
    <n v="3389.68"/>
    <n v="0"/>
    <x v="1"/>
    <x v="1"/>
    <x v="1"/>
    <n v="13558.72"/>
    <x v="5"/>
    <s v="medium"/>
  </r>
  <r>
    <x v="411"/>
    <d v="2024-10-28T00:00:00"/>
    <x v="1"/>
    <s v="T-Shirt"/>
    <x v="3"/>
    <n v="4"/>
    <n v="3520.44"/>
    <n v="0.25"/>
    <x v="0"/>
    <x v="4"/>
    <x v="1"/>
    <n v="10561.32"/>
    <x v="5"/>
    <s v="medium"/>
  </r>
  <r>
    <x v="412"/>
    <d v="2024-04-11T00:00:00"/>
    <x v="3"/>
    <s v="Phone Cover"/>
    <x v="4"/>
    <n v="1"/>
    <n v="2189.4299999999998"/>
    <n v="0.15"/>
    <x v="0"/>
    <x v="0"/>
    <x v="1"/>
    <n v="1861.02"/>
    <x v="8"/>
    <s v="low"/>
  </r>
  <r>
    <x v="413"/>
    <d v="2024-08-09T00:00:00"/>
    <x v="1"/>
    <s v="Kurti"/>
    <x v="1"/>
    <n v="3"/>
    <n v="7462.39"/>
    <n v="0"/>
    <x v="1"/>
    <x v="1"/>
    <x v="0"/>
    <n v="22387.17"/>
    <x v="2"/>
    <s v="high"/>
  </r>
  <r>
    <x v="414"/>
    <d v="2024-06-20T00:00:00"/>
    <x v="0"/>
    <s v="Curtain"/>
    <x v="2"/>
    <n v="1"/>
    <n v="954.3"/>
    <n v="0.1"/>
    <x v="2"/>
    <x v="0"/>
    <x v="0"/>
    <n v="858.87"/>
    <x v="11"/>
    <s v="low"/>
  </r>
  <r>
    <x v="415"/>
    <d v="2024-12-25T00:00:00"/>
    <x v="1"/>
    <s v="Sneakers"/>
    <x v="2"/>
    <n v="2"/>
    <n v="5345.63"/>
    <n v="0"/>
    <x v="0"/>
    <x v="1"/>
    <x v="1"/>
    <n v="10691.26"/>
    <x v="4"/>
    <s v="medium"/>
  </r>
  <r>
    <x v="416"/>
    <d v="2024-07-24T00:00:00"/>
    <x v="0"/>
    <s v="Wall Clock"/>
    <x v="2"/>
    <n v="4"/>
    <n v="5554.15"/>
    <n v="0.2"/>
    <x v="0"/>
    <x v="3"/>
    <x v="1"/>
    <n v="17773.28"/>
    <x v="6"/>
    <s v="medium"/>
  </r>
  <r>
    <x v="417"/>
    <d v="2024-04-09T00:00:00"/>
    <x v="2"/>
    <s v="Guide Book"/>
    <x v="1"/>
    <n v="1"/>
    <n v="5408.12"/>
    <n v="0.25"/>
    <x v="2"/>
    <x v="0"/>
    <x v="1"/>
    <n v="4056.09"/>
    <x v="8"/>
    <s v="low"/>
  </r>
  <r>
    <x v="418"/>
    <d v="2024-08-11T00:00:00"/>
    <x v="1"/>
    <s v="T-Shirt"/>
    <x v="3"/>
    <n v="2"/>
    <n v="5330.9"/>
    <n v="0"/>
    <x v="1"/>
    <x v="3"/>
    <x v="0"/>
    <n v="10661.8"/>
    <x v="2"/>
    <s v="medium"/>
  </r>
  <r>
    <x v="419"/>
    <d v="2024-04-23T00:00:00"/>
    <x v="0"/>
    <s v="Wall Clock"/>
    <x v="2"/>
    <n v="5"/>
    <n v="7595.13"/>
    <n v="0.1"/>
    <x v="0"/>
    <x v="1"/>
    <x v="1"/>
    <n v="34178.080000000002"/>
    <x v="8"/>
    <s v="high"/>
  </r>
  <r>
    <x v="420"/>
    <d v="2024-03-08T00:00:00"/>
    <x v="4"/>
    <s v="Lipstick"/>
    <x v="2"/>
    <n v="1"/>
    <n v="4419.6099999999997"/>
    <n v="0.2"/>
    <x v="0"/>
    <x v="3"/>
    <x v="1"/>
    <n v="3535.69"/>
    <x v="7"/>
    <s v="low"/>
  </r>
  <r>
    <x v="421"/>
    <d v="2024-03-19T00:00:00"/>
    <x v="3"/>
    <s v="Power Bank"/>
    <x v="2"/>
    <n v="1"/>
    <n v="7011.72"/>
    <n v="0"/>
    <x v="0"/>
    <x v="4"/>
    <x v="1"/>
    <n v="7011.72"/>
    <x v="7"/>
    <s v="low"/>
  </r>
  <r>
    <x v="422"/>
    <d v="2024-06-08T00:00:00"/>
    <x v="2"/>
    <s v="Diary"/>
    <x v="6"/>
    <n v="5"/>
    <n v="1752.73"/>
    <n v="0.15"/>
    <x v="0"/>
    <x v="2"/>
    <x v="1"/>
    <n v="7449.1"/>
    <x v="11"/>
    <s v="low"/>
  </r>
  <r>
    <x v="423"/>
    <d v="2024-08-08T00:00:00"/>
    <x v="2"/>
    <s v="Novel"/>
    <x v="0"/>
    <n v="6"/>
    <n v="4842.68"/>
    <n v="0"/>
    <x v="2"/>
    <x v="2"/>
    <x v="1"/>
    <n v="29056.080000000002"/>
    <x v="2"/>
    <s v="high"/>
  </r>
  <r>
    <x v="424"/>
    <d v="2024-10-05T00:00:00"/>
    <x v="1"/>
    <s v="Handbag"/>
    <x v="0"/>
    <n v="3"/>
    <n v="2450.62"/>
    <n v="0"/>
    <x v="0"/>
    <x v="2"/>
    <x v="1"/>
    <n v="7351.86"/>
    <x v="5"/>
    <s v="low"/>
  </r>
  <r>
    <x v="425"/>
    <d v="2024-07-03T00:00:00"/>
    <x v="4"/>
    <s v="Perfume"/>
    <x v="5"/>
    <n v="6"/>
    <n v="5285.1"/>
    <n v="0.1"/>
    <x v="3"/>
    <x v="2"/>
    <x v="0"/>
    <n v="28539.54"/>
    <x v="6"/>
    <s v="high"/>
  </r>
  <r>
    <x v="426"/>
    <d v="2024-01-17T00:00:00"/>
    <x v="0"/>
    <s v="Cushion"/>
    <x v="0"/>
    <n v="4"/>
    <n v="7701.54"/>
    <n v="0.1"/>
    <x v="0"/>
    <x v="1"/>
    <x v="1"/>
    <n v="27725.54"/>
    <x v="1"/>
    <s v="high"/>
  </r>
  <r>
    <x v="427"/>
    <d v="2024-05-18T00:00:00"/>
    <x v="3"/>
    <s v="Smartwatch"/>
    <x v="6"/>
    <n v="4"/>
    <n v="489.34"/>
    <n v="0.05"/>
    <x v="0"/>
    <x v="2"/>
    <x v="1"/>
    <n v="1859.49"/>
    <x v="9"/>
    <s v="low"/>
  </r>
  <r>
    <x v="428"/>
    <d v="2024-05-23T00:00:00"/>
    <x v="1"/>
    <s v="Kurti"/>
    <x v="7"/>
    <n v="1"/>
    <n v="7388.28"/>
    <n v="0.1"/>
    <x v="0"/>
    <x v="1"/>
    <x v="1"/>
    <n v="6649.45"/>
    <x v="9"/>
    <s v="low"/>
  </r>
  <r>
    <x v="429"/>
    <d v="2024-05-19T00:00:00"/>
    <x v="2"/>
    <s v="Novel"/>
    <x v="5"/>
    <n v="4"/>
    <n v="4157.51"/>
    <n v="0.1"/>
    <x v="0"/>
    <x v="3"/>
    <x v="1"/>
    <n v="14967.04"/>
    <x v="9"/>
    <s v="medium"/>
  </r>
  <r>
    <x v="430"/>
    <d v="2024-11-15T00:00:00"/>
    <x v="0"/>
    <s v="Wall Clock"/>
    <x v="2"/>
    <n v="6"/>
    <n v="1629.1"/>
    <n v="0"/>
    <x v="2"/>
    <x v="1"/>
    <x v="1"/>
    <n v="9774.6"/>
    <x v="0"/>
    <s v="low"/>
  </r>
  <r>
    <x v="431"/>
    <d v="2024-03-03T00:00:00"/>
    <x v="4"/>
    <s v="Sunscreen"/>
    <x v="7"/>
    <n v="1"/>
    <n v="4637.28"/>
    <n v="0"/>
    <x v="2"/>
    <x v="2"/>
    <x v="0"/>
    <n v="4637.28"/>
    <x v="7"/>
    <s v="low"/>
  </r>
  <r>
    <x v="432"/>
    <d v="2024-07-23T00:00:00"/>
    <x v="1"/>
    <s v="T-Shirt"/>
    <x v="7"/>
    <n v="2"/>
    <n v="5282.96"/>
    <n v="0.2"/>
    <x v="0"/>
    <x v="4"/>
    <x v="1"/>
    <n v="8452.74"/>
    <x v="6"/>
    <s v="low"/>
  </r>
  <r>
    <x v="433"/>
    <d v="2024-08-27T00:00:00"/>
    <x v="0"/>
    <s v="Table Lamp"/>
    <x v="3"/>
    <n v="1"/>
    <n v="576.87"/>
    <n v="0.2"/>
    <x v="3"/>
    <x v="4"/>
    <x v="1"/>
    <n v="461.5"/>
    <x v="2"/>
    <s v="low"/>
  </r>
  <r>
    <x v="434"/>
    <d v="2024-08-13T00:00:00"/>
    <x v="1"/>
    <s v="T-Shirt"/>
    <x v="1"/>
    <n v="1"/>
    <n v="2588.75"/>
    <n v="0.1"/>
    <x v="1"/>
    <x v="0"/>
    <x v="1"/>
    <n v="2329.88"/>
    <x v="2"/>
    <s v="low"/>
  </r>
  <r>
    <x v="435"/>
    <d v="2024-12-25T00:00:00"/>
    <x v="2"/>
    <s v="Guide Book"/>
    <x v="1"/>
    <n v="3"/>
    <n v="4201.42"/>
    <n v="0.05"/>
    <x v="0"/>
    <x v="1"/>
    <x v="1"/>
    <n v="11974.05"/>
    <x v="4"/>
    <s v="medium"/>
  </r>
  <r>
    <x v="436"/>
    <d v="2024-11-04T00:00:00"/>
    <x v="4"/>
    <s v="Perfume"/>
    <x v="7"/>
    <n v="5"/>
    <n v="4540.2"/>
    <n v="0.1"/>
    <x v="0"/>
    <x v="2"/>
    <x v="1"/>
    <n v="20430.900000000001"/>
    <x v="0"/>
    <s v="high"/>
  </r>
  <r>
    <x v="437"/>
    <d v="2024-06-22T00:00:00"/>
    <x v="1"/>
    <s v="Jeans"/>
    <x v="5"/>
    <n v="2"/>
    <n v="3426.67"/>
    <n v="0.15"/>
    <x v="0"/>
    <x v="0"/>
    <x v="1"/>
    <n v="5825.34"/>
    <x v="11"/>
    <s v="low"/>
  </r>
  <r>
    <x v="438"/>
    <d v="2024-03-29T00:00:00"/>
    <x v="4"/>
    <s v="Perfume"/>
    <x v="6"/>
    <n v="6"/>
    <n v="3739.45"/>
    <n v="0.15"/>
    <x v="1"/>
    <x v="0"/>
    <x v="0"/>
    <n v="19071.189999999999"/>
    <x v="7"/>
    <s v="medium"/>
  </r>
  <r>
    <x v="439"/>
    <d v="2024-04-11T00:00:00"/>
    <x v="4"/>
    <s v="Sunscreen"/>
    <x v="3"/>
    <n v="5"/>
    <n v="1507.98"/>
    <n v="0.05"/>
    <x v="1"/>
    <x v="1"/>
    <x v="1"/>
    <n v="7162.9"/>
    <x v="8"/>
    <s v="low"/>
  </r>
  <r>
    <x v="440"/>
    <d v="2024-09-04T00:00:00"/>
    <x v="0"/>
    <s v="Curtain"/>
    <x v="4"/>
    <n v="6"/>
    <n v="4990.22"/>
    <n v="0.05"/>
    <x v="0"/>
    <x v="4"/>
    <x v="1"/>
    <n v="28444.25"/>
    <x v="3"/>
    <s v="high"/>
  </r>
  <r>
    <x v="441"/>
    <d v="2024-07-05T00:00:00"/>
    <x v="4"/>
    <s v="Perfume"/>
    <x v="4"/>
    <n v="4"/>
    <n v="3670.53"/>
    <n v="0.05"/>
    <x v="0"/>
    <x v="4"/>
    <x v="1"/>
    <n v="13948.01"/>
    <x v="6"/>
    <s v="medium"/>
  </r>
  <r>
    <x v="442"/>
    <d v="2024-09-23T00:00:00"/>
    <x v="0"/>
    <s v="Bedsheet"/>
    <x v="4"/>
    <n v="1"/>
    <n v="273.67"/>
    <n v="0.1"/>
    <x v="3"/>
    <x v="1"/>
    <x v="1"/>
    <n v="246.3"/>
    <x v="3"/>
    <s v="low"/>
  </r>
  <r>
    <x v="443"/>
    <d v="2024-03-08T00:00:00"/>
    <x v="0"/>
    <s v="Cushion"/>
    <x v="2"/>
    <n v="3"/>
    <n v="3075.86"/>
    <n v="0"/>
    <x v="0"/>
    <x v="2"/>
    <x v="1"/>
    <n v="9227.58"/>
    <x v="7"/>
    <s v="low"/>
  </r>
  <r>
    <x v="444"/>
    <d v="2024-11-04T00:00:00"/>
    <x v="3"/>
    <s v="Power Bank"/>
    <x v="3"/>
    <n v="3"/>
    <n v="4491.51"/>
    <n v="0"/>
    <x v="0"/>
    <x v="4"/>
    <x v="1"/>
    <n v="13474.53"/>
    <x v="0"/>
    <s v="medium"/>
  </r>
  <r>
    <x v="445"/>
    <d v="2024-07-14T00:00:00"/>
    <x v="2"/>
    <s v="Diary"/>
    <x v="4"/>
    <n v="6"/>
    <n v="4411.04"/>
    <n v="0.2"/>
    <x v="3"/>
    <x v="4"/>
    <x v="1"/>
    <n v="21172.99"/>
    <x v="6"/>
    <s v="high"/>
  </r>
  <r>
    <x v="446"/>
    <d v="2024-01-24T00:00:00"/>
    <x v="1"/>
    <s v="Jeans"/>
    <x v="0"/>
    <n v="2"/>
    <n v="895.55"/>
    <n v="0.25"/>
    <x v="0"/>
    <x v="2"/>
    <x v="1"/>
    <n v="1343.32"/>
    <x v="1"/>
    <s v="low"/>
  </r>
  <r>
    <x v="447"/>
    <d v="2024-09-11T00:00:00"/>
    <x v="1"/>
    <s v="Kurti"/>
    <x v="7"/>
    <n v="6"/>
    <n v="7311.34"/>
    <n v="0.2"/>
    <x v="0"/>
    <x v="4"/>
    <x v="1"/>
    <n v="35094.43"/>
    <x v="3"/>
    <s v="high"/>
  </r>
  <r>
    <x v="448"/>
    <d v="2024-10-19T00:00:00"/>
    <x v="1"/>
    <s v="Kurti"/>
    <x v="7"/>
    <n v="1"/>
    <n v="2219.9299999999998"/>
    <n v="0.15"/>
    <x v="1"/>
    <x v="2"/>
    <x v="1"/>
    <n v="1886.94"/>
    <x v="5"/>
    <s v="low"/>
  </r>
  <r>
    <x v="449"/>
    <d v="2024-03-11T00:00:00"/>
    <x v="3"/>
    <s v="Smartwatch"/>
    <x v="1"/>
    <n v="5"/>
    <n v="4487.32"/>
    <n v="0.05"/>
    <x v="1"/>
    <x v="0"/>
    <x v="1"/>
    <n v="21314.77"/>
    <x v="7"/>
    <s v="high"/>
  </r>
  <r>
    <x v="450"/>
    <d v="2024-02-21T00:00:00"/>
    <x v="4"/>
    <s v="Hair Oil"/>
    <x v="6"/>
    <n v="2"/>
    <n v="3383.76"/>
    <n v="0.05"/>
    <x v="0"/>
    <x v="1"/>
    <x v="1"/>
    <n v="6429.14"/>
    <x v="10"/>
    <s v="low"/>
  </r>
  <r>
    <x v="451"/>
    <d v="2024-08-13T00:00:00"/>
    <x v="1"/>
    <s v="Sneakers"/>
    <x v="6"/>
    <n v="6"/>
    <n v="4104.09"/>
    <n v="0"/>
    <x v="0"/>
    <x v="4"/>
    <x v="0"/>
    <n v="24624.54"/>
    <x v="2"/>
    <s v="high"/>
  </r>
  <r>
    <x v="452"/>
    <d v="2024-06-05T00:00:00"/>
    <x v="2"/>
    <s v="Guide Book"/>
    <x v="6"/>
    <n v="6"/>
    <n v="5856.38"/>
    <n v="0.1"/>
    <x v="2"/>
    <x v="1"/>
    <x v="1"/>
    <n v="31624.45"/>
    <x v="11"/>
    <s v="high"/>
  </r>
  <r>
    <x v="453"/>
    <d v="2024-01-31T00:00:00"/>
    <x v="1"/>
    <s v="Jeans"/>
    <x v="5"/>
    <n v="5"/>
    <n v="6982.68"/>
    <n v="0"/>
    <x v="0"/>
    <x v="0"/>
    <x v="1"/>
    <n v="34913.4"/>
    <x v="1"/>
    <s v="high"/>
  </r>
  <r>
    <x v="454"/>
    <d v="2024-08-24T00:00:00"/>
    <x v="0"/>
    <s v="Bedsheet"/>
    <x v="1"/>
    <n v="2"/>
    <n v="3066.64"/>
    <n v="0.2"/>
    <x v="0"/>
    <x v="0"/>
    <x v="1"/>
    <n v="4906.62"/>
    <x v="2"/>
    <s v="low"/>
  </r>
  <r>
    <x v="455"/>
    <d v="2024-06-28T00:00:00"/>
    <x v="3"/>
    <s v="Power Bank"/>
    <x v="6"/>
    <n v="1"/>
    <n v="2610.1999999999998"/>
    <n v="0.2"/>
    <x v="3"/>
    <x v="4"/>
    <x v="1"/>
    <n v="2088.16"/>
    <x v="11"/>
    <s v="low"/>
  </r>
  <r>
    <x v="456"/>
    <d v="2024-05-20T00:00:00"/>
    <x v="4"/>
    <s v="Sunscreen"/>
    <x v="3"/>
    <n v="2"/>
    <n v="6649.47"/>
    <n v="0.2"/>
    <x v="0"/>
    <x v="1"/>
    <x v="0"/>
    <n v="10639.15"/>
    <x v="9"/>
    <s v="medium"/>
  </r>
  <r>
    <x v="457"/>
    <d v="2024-01-05T00:00:00"/>
    <x v="3"/>
    <s v="Smartwatch"/>
    <x v="0"/>
    <n v="1"/>
    <n v="2182.19"/>
    <n v="0.25"/>
    <x v="1"/>
    <x v="0"/>
    <x v="1"/>
    <n v="1636.64"/>
    <x v="1"/>
    <s v="low"/>
  </r>
  <r>
    <x v="458"/>
    <d v="2024-12-02T00:00:00"/>
    <x v="1"/>
    <s v="Sneakers"/>
    <x v="2"/>
    <n v="3"/>
    <n v="321.91000000000003"/>
    <n v="0.25"/>
    <x v="1"/>
    <x v="3"/>
    <x v="1"/>
    <n v="724.3"/>
    <x v="4"/>
    <s v="low"/>
  </r>
  <r>
    <x v="459"/>
    <d v="2024-10-06T00:00:00"/>
    <x v="3"/>
    <s v="Smartwatch"/>
    <x v="1"/>
    <n v="6"/>
    <n v="6493.74"/>
    <n v="0"/>
    <x v="0"/>
    <x v="2"/>
    <x v="1"/>
    <n v="38962.44"/>
    <x v="5"/>
    <s v="high"/>
  </r>
  <r>
    <x v="460"/>
    <d v="2024-03-03T00:00:00"/>
    <x v="2"/>
    <s v="Guide Book"/>
    <x v="0"/>
    <n v="1"/>
    <n v="4253.78"/>
    <n v="0.1"/>
    <x v="3"/>
    <x v="1"/>
    <x v="1"/>
    <n v="3828.4"/>
    <x v="7"/>
    <s v="low"/>
  </r>
  <r>
    <x v="461"/>
    <d v="2024-09-22T00:00:00"/>
    <x v="4"/>
    <s v="Hair Oil"/>
    <x v="0"/>
    <n v="5"/>
    <n v="2338.4299999999998"/>
    <n v="0"/>
    <x v="2"/>
    <x v="0"/>
    <x v="1"/>
    <n v="11692.15"/>
    <x v="3"/>
    <s v="medium"/>
  </r>
  <r>
    <x v="462"/>
    <d v="2024-03-19T00:00:00"/>
    <x v="2"/>
    <s v="Comic"/>
    <x v="7"/>
    <n v="5"/>
    <n v="4226.1099999999997"/>
    <n v="0.2"/>
    <x v="0"/>
    <x v="0"/>
    <x v="0"/>
    <n v="16904.439999999999"/>
    <x v="7"/>
    <s v="medium"/>
  </r>
  <r>
    <x v="463"/>
    <d v="2024-12-05T00:00:00"/>
    <x v="3"/>
    <s v="Phone Cover"/>
    <x v="3"/>
    <n v="3"/>
    <n v="7300.71"/>
    <n v="0.25"/>
    <x v="1"/>
    <x v="4"/>
    <x v="0"/>
    <n v="16426.599999999999"/>
    <x v="4"/>
    <s v="medium"/>
  </r>
  <r>
    <x v="464"/>
    <d v="2024-08-30T00:00:00"/>
    <x v="4"/>
    <s v="Perfume"/>
    <x v="4"/>
    <n v="1"/>
    <n v="274.06"/>
    <n v="0.05"/>
    <x v="2"/>
    <x v="4"/>
    <x v="0"/>
    <n v="260.36"/>
    <x v="2"/>
    <s v="low"/>
  </r>
  <r>
    <x v="465"/>
    <d v="2024-08-13T00:00:00"/>
    <x v="1"/>
    <s v="Jeans"/>
    <x v="0"/>
    <n v="3"/>
    <n v="4749.8999999999996"/>
    <n v="0.15"/>
    <x v="0"/>
    <x v="2"/>
    <x v="0"/>
    <n v="12112.24"/>
    <x v="2"/>
    <s v="medium"/>
  </r>
  <r>
    <x v="466"/>
    <d v="2024-02-02T00:00:00"/>
    <x v="3"/>
    <s v="Earbuds"/>
    <x v="0"/>
    <n v="5"/>
    <n v="5594.45"/>
    <n v="0.1"/>
    <x v="1"/>
    <x v="4"/>
    <x v="1"/>
    <n v="25175.03"/>
    <x v="10"/>
    <s v="high"/>
  </r>
  <r>
    <x v="467"/>
    <d v="2024-11-22T00:00:00"/>
    <x v="0"/>
    <s v="Curtain"/>
    <x v="1"/>
    <n v="6"/>
    <n v="4146.79"/>
    <n v="0"/>
    <x v="2"/>
    <x v="4"/>
    <x v="1"/>
    <n v="24880.74"/>
    <x v="0"/>
    <s v="high"/>
  </r>
  <r>
    <x v="468"/>
    <d v="2024-07-30T00:00:00"/>
    <x v="0"/>
    <s v="Cushion"/>
    <x v="6"/>
    <n v="5"/>
    <n v="2299.41"/>
    <n v="0.1"/>
    <x v="3"/>
    <x v="1"/>
    <x v="1"/>
    <n v="10347.34"/>
    <x v="6"/>
    <s v="medium"/>
  </r>
  <r>
    <x v="469"/>
    <d v="2024-02-10T00:00:00"/>
    <x v="2"/>
    <s v="Notebook"/>
    <x v="2"/>
    <n v="3"/>
    <n v="6926.99"/>
    <n v="0.05"/>
    <x v="0"/>
    <x v="3"/>
    <x v="1"/>
    <n v="19741.919999999998"/>
    <x v="10"/>
    <s v="medium"/>
  </r>
  <r>
    <x v="470"/>
    <d v="2024-11-24T00:00:00"/>
    <x v="3"/>
    <s v="Power Bank"/>
    <x v="3"/>
    <n v="6"/>
    <n v="4300.1499999999996"/>
    <n v="0.2"/>
    <x v="0"/>
    <x v="1"/>
    <x v="1"/>
    <n v="20640.72"/>
    <x v="0"/>
    <s v="high"/>
  </r>
  <r>
    <x v="471"/>
    <d v="2024-12-03T00:00:00"/>
    <x v="2"/>
    <s v="Comic"/>
    <x v="0"/>
    <n v="5"/>
    <n v="3288.59"/>
    <n v="0.2"/>
    <x v="0"/>
    <x v="4"/>
    <x v="1"/>
    <n v="13154.36"/>
    <x v="4"/>
    <s v="medium"/>
  </r>
  <r>
    <x v="472"/>
    <d v="2024-12-15T00:00:00"/>
    <x v="3"/>
    <s v="Earbuds"/>
    <x v="6"/>
    <n v="6"/>
    <n v="747.41"/>
    <n v="0.05"/>
    <x v="0"/>
    <x v="2"/>
    <x v="1"/>
    <n v="4260.24"/>
    <x v="4"/>
    <s v="low"/>
  </r>
  <r>
    <x v="473"/>
    <d v="2024-03-28T00:00:00"/>
    <x v="1"/>
    <s v="Handbag"/>
    <x v="4"/>
    <n v="1"/>
    <n v="1372.02"/>
    <n v="0.1"/>
    <x v="3"/>
    <x v="1"/>
    <x v="1"/>
    <n v="1234.82"/>
    <x v="7"/>
    <s v="low"/>
  </r>
  <r>
    <x v="474"/>
    <d v="2024-05-16T00:00:00"/>
    <x v="0"/>
    <s v="Cushion"/>
    <x v="5"/>
    <n v="2"/>
    <n v="3249.36"/>
    <n v="0"/>
    <x v="3"/>
    <x v="3"/>
    <x v="0"/>
    <n v="6498.72"/>
    <x v="9"/>
    <s v="low"/>
  </r>
  <r>
    <x v="475"/>
    <d v="2024-05-03T00:00:00"/>
    <x v="1"/>
    <s v="Sneakers"/>
    <x v="1"/>
    <n v="1"/>
    <n v="4809.37"/>
    <n v="0.25"/>
    <x v="1"/>
    <x v="1"/>
    <x v="0"/>
    <n v="3607.03"/>
    <x v="9"/>
    <s v="low"/>
  </r>
  <r>
    <x v="476"/>
    <d v="2024-03-04T00:00:00"/>
    <x v="0"/>
    <s v="Curtain"/>
    <x v="2"/>
    <n v="5"/>
    <n v="315.10000000000002"/>
    <n v="0.25"/>
    <x v="2"/>
    <x v="2"/>
    <x v="1"/>
    <n v="1181.6199999999999"/>
    <x v="7"/>
    <s v="low"/>
  </r>
  <r>
    <x v="477"/>
    <d v="2024-12-28T00:00:00"/>
    <x v="1"/>
    <s v="Kurti"/>
    <x v="5"/>
    <n v="5"/>
    <n v="6320.01"/>
    <n v="0.15"/>
    <x v="2"/>
    <x v="3"/>
    <x v="1"/>
    <n v="26860.04"/>
    <x v="4"/>
    <s v="high"/>
  </r>
  <r>
    <x v="478"/>
    <d v="2024-06-19T00:00:00"/>
    <x v="2"/>
    <s v="Novel"/>
    <x v="2"/>
    <n v="3"/>
    <n v="5695.09"/>
    <n v="0.1"/>
    <x v="1"/>
    <x v="0"/>
    <x v="1"/>
    <n v="15376.74"/>
    <x v="11"/>
    <s v="medium"/>
  </r>
  <r>
    <x v="479"/>
    <d v="2024-02-28T00:00:00"/>
    <x v="3"/>
    <s v="Phone Cover"/>
    <x v="4"/>
    <n v="2"/>
    <n v="5981.79"/>
    <n v="0.05"/>
    <x v="0"/>
    <x v="0"/>
    <x v="1"/>
    <n v="11365.4"/>
    <x v="10"/>
    <s v="medium"/>
  </r>
  <r>
    <x v="480"/>
    <d v="2024-03-30T00:00:00"/>
    <x v="3"/>
    <s v="Power Bank"/>
    <x v="2"/>
    <n v="4"/>
    <n v="746.67"/>
    <n v="0.25"/>
    <x v="0"/>
    <x v="0"/>
    <x v="1"/>
    <n v="2240.0100000000002"/>
    <x v="7"/>
    <s v="low"/>
  </r>
  <r>
    <x v="481"/>
    <d v="2024-05-01T00:00:00"/>
    <x v="1"/>
    <s v="T-Shirt"/>
    <x v="0"/>
    <n v="3"/>
    <n v="2542.9899999999998"/>
    <n v="0.25"/>
    <x v="3"/>
    <x v="4"/>
    <x v="1"/>
    <n v="5721.73"/>
    <x v="9"/>
    <s v="low"/>
  </r>
  <r>
    <x v="482"/>
    <d v="2024-01-07T00:00:00"/>
    <x v="1"/>
    <s v="Kurti"/>
    <x v="7"/>
    <n v="1"/>
    <n v="886.12"/>
    <n v="0"/>
    <x v="3"/>
    <x v="3"/>
    <x v="1"/>
    <n v="886.12"/>
    <x v="1"/>
    <s v="low"/>
  </r>
  <r>
    <x v="483"/>
    <d v="2024-07-15T00:00:00"/>
    <x v="2"/>
    <s v="Comic"/>
    <x v="2"/>
    <n v="6"/>
    <n v="2203.9899999999998"/>
    <n v="0"/>
    <x v="3"/>
    <x v="3"/>
    <x v="1"/>
    <n v="13223.94"/>
    <x v="6"/>
    <s v="medium"/>
  </r>
  <r>
    <x v="484"/>
    <d v="2024-02-29T00:00:00"/>
    <x v="4"/>
    <s v="Sunscreen"/>
    <x v="2"/>
    <n v="6"/>
    <n v="4853.3"/>
    <n v="0.1"/>
    <x v="0"/>
    <x v="3"/>
    <x v="1"/>
    <n v="26207.82"/>
    <x v="10"/>
    <s v="high"/>
  </r>
  <r>
    <x v="485"/>
    <d v="2024-07-12T00:00:00"/>
    <x v="1"/>
    <s v="Jeans"/>
    <x v="3"/>
    <n v="1"/>
    <n v="2473.35"/>
    <n v="0"/>
    <x v="0"/>
    <x v="4"/>
    <x v="0"/>
    <n v="2473.35"/>
    <x v="6"/>
    <s v="low"/>
  </r>
  <r>
    <x v="486"/>
    <d v="2024-11-15T00:00:00"/>
    <x v="4"/>
    <s v="Hair Oil"/>
    <x v="4"/>
    <n v="6"/>
    <n v="3902.39"/>
    <n v="0"/>
    <x v="1"/>
    <x v="3"/>
    <x v="1"/>
    <n v="23414.34"/>
    <x v="0"/>
    <s v="high"/>
  </r>
  <r>
    <x v="487"/>
    <d v="2024-05-01T00:00:00"/>
    <x v="3"/>
    <s v="Power Bank"/>
    <x v="1"/>
    <n v="6"/>
    <n v="3142.56"/>
    <n v="0.1"/>
    <x v="1"/>
    <x v="4"/>
    <x v="1"/>
    <n v="16969.82"/>
    <x v="9"/>
    <s v="medium"/>
  </r>
  <r>
    <x v="488"/>
    <d v="2024-09-21T00:00:00"/>
    <x v="3"/>
    <s v="Power Bank"/>
    <x v="3"/>
    <n v="4"/>
    <n v="7621.22"/>
    <n v="0.05"/>
    <x v="3"/>
    <x v="3"/>
    <x v="1"/>
    <n v="28960.639999999999"/>
    <x v="3"/>
    <s v="high"/>
  </r>
  <r>
    <x v="489"/>
    <d v="2024-03-24T00:00:00"/>
    <x v="4"/>
    <s v="Face Wash"/>
    <x v="5"/>
    <n v="1"/>
    <n v="3267.91"/>
    <n v="0"/>
    <x v="0"/>
    <x v="3"/>
    <x v="0"/>
    <n v="3267.91"/>
    <x v="7"/>
    <s v="low"/>
  </r>
  <r>
    <x v="490"/>
    <d v="2024-09-06T00:00:00"/>
    <x v="4"/>
    <s v="Sunscreen"/>
    <x v="4"/>
    <n v="1"/>
    <n v="1851.62"/>
    <n v="0.05"/>
    <x v="0"/>
    <x v="3"/>
    <x v="1"/>
    <n v="1759.04"/>
    <x v="3"/>
    <s v="low"/>
  </r>
  <r>
    <x v="491"/>
    <d v="2024-03-07T00:00:00"/>
    <x v="4"/>
    <s v="Sunscreen"/>
    <x v="7"/>
    <n v="2"/>
    <n v="2611.2600000000002"/>
    <n v="0.2"/>
    <x v="1"/>
    <x v="4"/>
    <x v="1"/>
    <n v="4178.0200000000004"/>
    <x v="7"/>
    <s v="low"/>
  </r>
  <r>
    <x v="492"/>
    <d v="2024-03-18T00:00:00"/>
    <x v="1"/>
    <s v="Handbag"/>
    <x v="7"/>
    <n v="2"/>
    <n v="5603.24"/>
    <n v="0"/>
    <x v="1"/>
    <x v="2"/>
    <x v="0"/>
    <n v="11206.48"/>
    <x v="7"/>
    <s v="medium"/>
  </r>
  <r>
    <x v="493"/>
    <d v="2024-08-14T00:00:00"/>
    <x v="0"/>
    <s v="Table Lamp"/>
    <x v="4"/>
    <n v="1"/>
    <n v="879.03"/>
    <n v="0.2"/>
    <x v="0"/>
    <x v="0"/>
    <x v="0"/>
    <n v="703.22"/>
    <x v="2"/>
    <s v="low"/>
  </r>
  <r>
    <x v="494"/>
    <d v="2024-12-05T00:00:00"/>
    <x v="1"/>
    <s v="Kurti"/>
    <x v="3"/>
    <n v="1"/>
    <n v="7007.58"/>
    <n v="0.2"/>
    <x v="1"/>
    <x v="0"/>
    <x v="1"/>
    <n v="5606.06"/>
    <x v="4"/>
    <s v="low"/>
  </r>
  <r>
    <x v="495"/>
    <d v="2024-12-24T00:00:00"/>
    <x v="4"/>
    <s v="Sunscreen"/>
    <x v="7"/>
    <n v="2"/>
    <n v="7031.71"/>
    <n v="0"/>
    <x v="0"/>
    <x v="0"/>
    <x v="1"/>
    <n v="14063.42"/>
    <x v="4"/>
    <s v="medium"/>
  </r>
  <r>
    <x v="496"/>
    <d v="2024-07-13T00:00:00"/>
    <x v="1"/>
    <s v="Sneakers"/>
    <x v="1"/>
    <n v="5"/>
    <n v="7384.66"/>
    <n v="0"/>
    <x v="3"/>
    <x v="0"/>
    <x v="0"/>
    <n v="36923.300000000003"/>
    <x v="6"/>
    <s v="high"/>
  </r>
  <r>
    <x v="497"/>
    <d v="2024-09-18T00:00:00"/>
    <x v="1"/>
    <s v="Handbag"/>
    <x v="4"/>
    <n v="4"/>
    <n v="1647.92"/>
    <n v="0"/>
    <x v="3"/>
    <x v="3"/>
    <x v="0"/>
    <n v="6591.68"/>
    <x v="3"/>
    <s v="low"/>
  </r>
  <r>
    <x v="498"/>
    <d v="2024-07-29T00:00:00"/>
    <x v="4"/>
    <s v="Lipstick"/>
    <x v="1"/>
    <n v="5"/>
    <n v="1156.8399999999999"/>
    <n v="0.15"/>
    <x v="3"/>
    <x v="4"/>
    <x v="1"/>
    <n v="4916.57"/>
    <x v="6"/>
    <s v="low"/>
  </r>
  <r>
    <x v="499"/>
    <d v="2024-03-29T00:00:00"/>
    <x v="2"/>
    <s v="Diary"/>
    <x v="4"/>
    <n v="3"/>
    <n v="5176.1499999999996"/>
    <n v="0"/>
    <x v="3"/>
    <x v="0"/>
    <x v="1"/>
    <n v="15528.45"/>
    <x v="7"/>
    <s v="medium"/>
  </r>
  <r>
    <x v="500"/>
    <d v="2024-08-27T00:00:00"/>
    <x v="1"/>
    <s v="Sneakers"/>
    <x v="2"/>
    <n v="4"/>
    <n v="5868.27"/>
    <n v="0"/>
    <x v="0"/>
    <x v="2"/>
    <x v="1"/>
    <n v="23473.08"/>
    <x v="2"/>
    <s v="high"/>
  </r>
  <r>
    <x v="501"/>
    <d v="2024-02-25T00:00:00"/>
    <x v="4"/>
    <s v="Perfume"/>
    <x v="0"/>
    <n v="2"/>
    <n v="690.24"/>
    <n v="0"/>
    <x v="2"/>
    <x v="4"/>
    <x v="1"/>
    <n v="1380.48"/>
    <x v="10"/>
    <s v="low"/>
  </r>
  <r>
    <x v="502"/>
    <d v="2024-06-17T00:00:00"/>
    <x v="1"/>
    <s v="Kurti"/>
    <x v="0"/>
    <n v="3"/>
    <n v="3176.28"/>
    <n v="0.25"/>
    <x v="1"/>
    <x v="3"/>
    <x v="1"/>
    <n v="7146.63"/>
    <x v="11"/>
    <s v="low"/>
  </r>
  <r>
    <x v="503"/>
    <d v="2024-02-10T00:00:00"/>
    <x v="3"/>
    <s v="Smartwatch"/>
    <x v="1"/>
    <n v="2"/>
    <n v="2005.64"/>
    <n v="0.1"/>
    <x v="3"/>
    <x v="1"/>
    <x v="1"/>
    <n v="3610.15"/>
    <x v="10"/>
    <s v="low"/>
  </r>
  <r>
    <x v="504"/>
    <d v="2024-09-27T00:00:00"/>
    <x v="3"/>
    <s v="Bluetooth Speaker"/>
    <x v="4"/>
    <n v="6"/>
    <n v="2520.21"/>
    <n v="0"/>
    <x v="0"/>
    <x v="0"/>
    <x v="1"/>
    <n v="15121.26"/>
    <x v="3"/>
    <s v="medium"/>
  </r>
  <r>
    <x v="505"/>
    <d v="2024-07-09T00:00:00"/>
    <x v="3"/>
    <s v="Bluetooth Speaker"/>
    <x v="1"/>
    <n v="4"/>
    <n v="7878.73"/>
    <n v="0.1"/>
    <x v="0"/>
    <x v="2"/>
    <x v="1"/>
    <n v="28363.43"/>
    <x v="6"/>
    <s v="high"/>
  </r>
  <r>
    <x v="506"/>
    <d v="2024-04-07T00:00:00"/>
    <x v="2"/>
    <s v="Guide Book"/>
    <x v="5"/>
    <n v="3"/>
    <n v="7794.04"/>
    <n v="0.1"/>
    <x v="2"/>
    <x v="4"/>
    <x v="1"/>
    <n v="21043.91"/>
    <x v="8"/>
    <s v="high"/>
  </r>
  <r>
    <x v="507"/>
    <d v="2024-12-19T00:00:00"/>
    <x v="3"/>
    <s v="Earbuds"/>
    <x v="3"/>
    <n v="4"/>
    <n v="6293.3"/>
    <n v="0.15"/>
    <x v="0"/>
    <x v="2"/>
    <x v="1"/>
    <n v="21397.22"/>
    <x v="4"/>
    <s v="high"/>
  </r>
  <r>
    <x v="508"/>
    <d v="2024-02-12T00:00:00"/>
    <x v="2"/>
    <s v="Comic"/>
    <x v="0"/>
    <n v="1"/>
    <n v="4666.24"/>
    <n v="0"/>
    <x v="2"/>
    <x v="1"/>
    <x v="1"/>
    <n v="4666.24"/>
    <x v="10"/>
    <s v="low"/>
  </r>
  <r>
    <x v="509"/>
    <d v="2024-09-07T00:00:00"/>
    <x v="2"/>
    <s v="Diary"/>
    <x v="6"/>
    <n v="1"/>
    <n v="3836.05"/>
    <n v="0.1"/>
    <x v="0"/>
    <x v="1"/>
    <x v="1"/>
    <n v="3452.45"/>
    <x v="3"/>
    <s v="low"/>
  </r>
  <r>
    <x v="510"/>
    <d v="2024-09-30T00:00:00"/>
    <x v="2"/>
    <s v="Notebook"/>
    <x v="1"/>
    <n v="4"/>
    <n v="4843.21"/>
    <n v="0.1"/>
    <x v="0"/>
    <x v="1"/>
    <x v="1"/>
    <n v="17435.560000000001"/>
    <x v="3"/>
    <s v="medium"/>
  </r>
  <r>
    <x v="511"/>
    <d v="2024-02-29T00:00:00"/>
    <x v="1"/>
    <s v="Sneakers"/>
    <x v="1"/>
    <n v="3"/>
    <n v="6047.07"/>
    <n v="0.05"/>
    <x v="0"/>
    <x v="0"/>
    <x v="1"/>
    <n v="17234.150000000001"/>
    <x v="10"/>
    <s v="medium"/>
  </r>
  <r>
    <x v="512"/>
    <d v="2024-12-03T00:00:00"/>
    <x v="2"/>
    <s v="Comic"/>
    <x v="1"/>
    <n v="6"/>
    <n v="253.12"/>
    <n v="0.15"/>
    <x v="0"/>
    <x v="3"/>
    <x v="1"/>
    <n v="1290.9100000000001"/>
    <x v="4"/>
    <s v="low"/>
  </r>
  <r>
    <x v="513"/>
    <d v="2024-03-11T00:00:00"/>
    <x v="0"/>
    <s v="Bedsheet"/>
    <x v="1"/>
    <n v="2"/>
    <n v="3017.63"/>
    <n v="0.15"/>
    <x v="0"/>
    <x v="0"/>
    <x v="1"/>
    <n v="5129.97"/>
    <x v="7"/>
    <s v="low"/>
  </r>
  <r>
    <x v="514"/>
    <d v="2024-06-24T00:00:00"/>
    <x v="0"/>
    <s v="Cushion"/>
    <x v="2"/>
    <n v="4"/>
    <n v="7356.24"/>
    <n v="0.1"/>
    <x v="2"/>
    <x v="2"/>
    <x v="0"/>
    <n v="26482.46"/>
    <x v="11"/>
    <s v="high"/>
  </r>
  <r>
    <x v="515"/>
    <d v="2024-01-18T00:00:00"/>
    <x v="1"/>
    <s v="Kurti"/>
    <x v="6"/>
    <n v="2"/>
    <n v="5649.59"/>
    <n v="0.1"/>
    <x v="0"/>
    <x v="3"/>
    <x v="1"/>
    <n v="10169.26"/>
    <x v="1"/>
    <s v="medium"/>
  </r>
  <r>
    <x v="516"/>
    <d v="2024-04-06T00:00:00"/>
    <x v="1"/>
    <s v="Sneakers"/>
    <x v="3"/>
    <n v="1"/>
    <n v="5731.62"/>
    <n v="0"/>
    <x v="0"/>
    <x v="1"/>
    <x v="0"/>
    <n v="5731.62"/>
    <x v="8"/>
    <s v="low"/>
  </r>
  <r>
    <x v="517"/>
    <d v="2024-07-11T00:00:00"/>
    <x v="2"/>
    <s v="Diary"/>
    <x v="4"/>
    <n v="2"/>
    <n v="2531.7800000000002"/>
    <n v="0.15"/>
    <x v="3"/>
    <x v="2"/>
    <x v="0"/>
    <n v="4304.03"/>
    <x v="6"/>
    <s v="low"/>
  </r>
  <r>
    <x v="518"/>
    <d v="2024-04-11T00:00:00"/>
    <x v="4"/>
    <s v="Hair Oil"/>
    <x v="6"/>
    <n v="5"/>
    <n v="4095.6"/>
    <n v="0"/>
    <x v="1"/>
    <x v="3"/>
    <x v="1"/>
    <n v="20478"/>
    <x v="8"/>
    <s v="high"/>
  </r>
  <r>
    <x v="519"/>
    <d v="2024-10-13T00:00:00"/>
    <x v="1"/>
    <s v="T-Shirt"/>
    <x v="6"/>
    <n v="6"/>
    <n v="5192.17"/>
    <n v="0.15"/>
    <x v="1"/>
    <x v="0"/>
    <x v="1"/>
    <n v="26480.07"/>
    <x v="5"/>
    <s v="high"/>
  </r>
  <r>
    <x v="520"/>
    <d v="2024-06-03T00:00:00"/>
    <x v="4"/>
    <s v="Perfume"/>
    <x v="7"/>
    <n v="5"/>
    <n v="6671.41"/>
    <n v="0.1"/>
    <x v="3"/>
    <x v="1"/>
    <x v="0"/>
    <n v="30021.35"/>
    <x v="11"/>
    <s v="high"/>
  </r>
  <r>
    <x v="521"/>
    <d v="2024-11-06T00:00:00"/>
    <x v="3"/>
    <s v="Phone Cover"/>
    <x v="2"/>
    <n v="2"/>
    <n v="273.98"/>
    <n v="0.25"/>
    <x v="3"/>
    <x v="0"/>
    <x v="1"/>
    <n v="410.97"/>
    <x v="0"/>
    <s v="low"/>
  </r>
  <r>
    <x v="522"/>
    <d v="2024-03-10T00:00:00"/>
    <x v="2"/>
    <s v="Novel"/>
    <x v="1"/>
    <n v="4"/>
    <n v="7959.33"/>
    <n v="0.1"/>
    <x v="0"/>
    <x v="1"/>
    <x v="1"/>
    <n v="28653.59"/>
    <x v="7"/>
    <s v="high"/>
  </r>
  <r>
    <x v="523"/>
    <d v="2024-08-10T00:00:00"/>
    <x v="4"/>
    <s v="Perfume"/>
    <x v="2"/>
    <n v="4"/>
    <n v="5624.54"/>
    <n v="0"/>
    <x v="3"/>
    <x v="1"/>
    <x v="1"/>
    <n v="22498.16"/>
    <x v="2"/>
    <s v="high"/>
  </r>
  <r>
    <x v="524"/>
    <d v="2024-09-19T00:00:00"/>
    <x v="4"/>
    <s v="Lipstick"/>
    <x v="4"/>
    <n v="4"/>
    <n v="6445.94"/>
    <n v="0.05"/>
    <x v="2"/>
    <x v="0"/>
    <x v="1"/>
    <n v="24494.57"/>
    <x v="3"/>
    <s v="high"/>
  </r>
  <r>
    <x v="525"/>
    <d v="2024-09-22T00:00:00"/>
    <x v="2"/>
    <s v="Novel"/>
    <x v="4"/>
    <n v="2"/>
    <n v="1229.3499999999999"/>
    <n v="0"/>
    <x v="0"/>
    <x v="3"/>
    <x v="1"/>
    <n v="2458.6999999999998"/>
    <x v="3"/>
    <s v="low"/>
  </r>
  <r>
    <x v="526"/>
    <d v="2024-06-03T00:00:00"/>
    <x v="4"/>
    <s v="Lipstick"/>
    <x v="0"/>
    <n v="6"/>
    <n v="5119.09"/>
    <n v="0.05"/>
    <x v="2"/>
    <x v="4"/>
    <x v="1"/>
    <n v="29178.81"/>
    <x v="11"/>
    <s v="high"/>
  </r>
  <r>
    <x v="527"/>
    <d v="2024-08-13T00:00:00"/>
    <x v="0"/>
    <s v="Bedsheet"/>
    <x v="6"/>
    <n v="1"/>
    <n v="1070.8699999999999"/>
    <n v="0.15"/>
    <x v="1"/>
    <x v="3"/>
    <x v="1"/>
    <n v="910.24"/>
    <x v="2"/>
    <s v="low"/>
  </r>
  <r>
    <x v="528"/>
    <d v="2024-10-22T00:00:00"/>
    <x v="2"/>
    <s v="Novel"/>
    <x v="3"/>
    <n v="4"/>
    <n v="4644.7700000000004"/>
    <n v="0.05"/>
    <x v="0"/>
    <x v="2"/>
    <x v="1"/>
    <n v="17650.13"/>
    <x v="5"/>
    <s v="medium"/>
  </r>
  <r>
    <x v="529"/>
    <d v="2024-07-09T00:00:00"/>
    <x v="1"/>
    <s v="Sneakers"/>
    <x v="1"/>
    <n v="3"/>
    <n v="7779.32"/>
    <n v="0"/>
    <x v="3"/>
    <x v="4"/>
    <x v="0"/>
    <n v="23337.96"/>
    <x v="6"/>
    <s v="high"/>
  </r>
  <r>
    <x v="530"/>
    <d v="2024-10-16T00:00:00"/>
    <x v="0"/>
    <s v="Bedsheet"/>
    <x v="6"/>
    <n v="1"/>
    <n v="1337.97"/>
    <n v="0"/>
    <x v="1"/>
    <x v="1"/>
    <x v="1"/>
    <n v="1337.97"/>
    <x v="5"/>
    <s v="low"/>
  </r>
  <r>
    <x v="531"/>
    <d v="2024-08-15T00:00:00"/>
    <x v="4"/>
    <s v="Perfume"/>
    <x v="3"/>
    <n v="4"/>
    <n v="1066.2"/>
    <n v="0.05"/>
    <x v="0"/>
    <x v="0"/>
    <x v="1"/>
    <n v="4051.56"/>
    <x v="2"/>
    <s v="low"/>
  </r>
  <r>
    <x v="532"/>
    <d v="2024-02-05T00:00:00"/>
    <x v="3"/>
    <s v="Bluetooth Speaker"/>
    <x v="6"/>
    <n v="6"/>
    <n v="6500.24"/>
    <n v="0.25"/>
    <x v="2"/>
    <x v="4"/>
    <x v="0"/>
    <n v="29251.08"/>
    <x v="10"/>
    <s v="high"/>
  </r>
  <r>
    <x v="533"/>
    <d v="2024-06-24T00:00:00"/>
    <x v="2"/>
    <s v="Notebook"/>
    <x v="3"/>
    <n v="2"/>
    <n v="4647.47"/>
    <n v="0.15"/>
    <x v="0"/>
    <x v="2"/>
    <x v="0"/>
    <n v="7900.7"/>
    <x v="11"/>
    <s v="low"/>
  </r>
  <r>
    <x v="534"/>
    <d v="2024-02-26T00:00:00"/>
    <x v="0"/>
    <s v="Curtain"/>
    <x v="2"/>
    <n v="3"/>
    <n v="3371.86"/>
    <n v="0.05"/>
    <x v="1"/>
    <x v="1"/>
    <x v="1"/>
    <n v="9609.7999999999993"/>
    <x v="10"/>
    <s v="low"/>
  </r>
  <r>
    <x v="535"/>
    <d v="2024-09-20T00:00:00"/>
    <x v="0"/>
    <s v="Curtain"/>
    <x v="4"/>
    <n v="3"/>
    <n v="2149.11"/>
    <n v="0.1"/>
    <x v="3"/>
    <x v="4"/>
    <x v="1"/>
    <n v="5802.6"/>
    <x v="3"/>
    <s v="low"/>
  </r>
  <r>
    <x v="536"/>
    <d v="2024-03-08T00:00:00"/>
    <x v="2"/>
    <s v="Notebook"/>
    <x v="3"/>
    <n v="2"/>
    <n v="5842.62"/>
    <n v="0.05"/>
    <x v="3"/>
    <x v="1"/>
    <x v="1"/>
    <n v="11100.98"/>
    <x v="7"/>
    <s v="medium"/>
  </r>
  <r>
    <x v="537"/>
    <d v="2024-03-31T00:00:00"/>
    <x v="3"/>
    <s v="Bluetooth Speaker"/>
    <x v="1"/>
    <n v="5"/>
    <n v="2768.16"/>
    <n v="0.1"/>
    <x v="3"/>
    <x v="0"/>
    <x v="1"/>
    <n v="12456.72"/>
    <x v="7"/>
    <s v="medium"/>
  </r>
  <r>
    <x v="538"/>
    <d v="2024-12-14T00:00:00"/>
    <x v="1"/>
    <s v="Kurti"/>
    <x v="7"/>
    <n v="5"/>
    <n v="2231.69"/>
    <n v="0.2"/>
    <x v="0"/>
    <x v="4"/>
    <x v="1"/>
    <n v="8926.76"/>
    <x v="4"/>
    <s v="low"/>
  </r>
  <r>
    <x v="539"/>
    <d v="2024-05-29T00:00:00"/>
    <x v="0"/>
    <s v="Curtain"/>
    <x v="6"/>
    <n v="3"/>
    <n v="6329.92"/>
    <n v="0"/>
    <x v="1"/>
    <x v="3"/>
    <x v="1"/>
    <n v="18989.759999999998"/>
    <x v="9"/>
    <s v="medium"/>
  </r>
  <r>
    <x v="540"/>
    <d v="2024-11-18T00:00:00"/>
    <x v="2"/>
    <s v="Comic"/>
    <x v="5"/>
    <n v="5"/>
    <n v="6943.58"/>
    <n v="0.1"/>
    <x v="0"/>
    <x v="2"/>
    <x v="1"/>
    <n v="31246.11"/>
    <x v="0"/>
    <s v="high"/>
  </r>
  <r>
    <x v="541"/>
    <d v="2024-10-10T00:00:00"/>
    <x v="3"/>
    <s v="Bluetooth Speaker"/>
    <x v="7"/>
    <n v="3"/>
    <n v="5717.56"/>
    <n v="0.1"/>
    <x v="2"/>
    <x v="3"/>
    <x v="1"/>
    <n v="15437.41"/>
    <x v="5"/>
    <s v="medium"/>
  </r>
  <r>
    <x v="542"/>
    <d v="2024-06-28T00:00:00"/>
    <x v="3"/>
    <s v="Earbuds"/>
    <x v="0"/>
    <n v="5"/>
    <n v="1615.64"/>
    <n v="0.2"/>
    <x v="0"/>
    <x v="4"/>
    <x v="1"/>
    <n v="6462.56"/>
    <x v="11"/>
    <s v="low"/>
  </r>
  <r>
    <x v="543"/>
    <d v="2024-10-10T00:00:00"/>
    <x v="1"/>
    <s v="Handbag"/>
    <x v="5"/>
    <n v="2"/>
    <n v="390.83"/>
    <n v="0.15"/>
    <x v="2"/>
    <x v="4"/>
    <x v="1"/>
    <n v="664.41"/>
    <x v="5"/>
    <s v="low"/>
  </r>
  <r>
    <x v="544"/>
    <d v="2024-02-14T00:00:00"/>
    <x v="1"/>
    <s v="T-Shirt"/>
    <x v="7"/>
    <n v="1"/>
    <n v="5254.38"/>
    <n v="0.05"/>
    <x v="0"/>
    <x v="3"/>
    <x v="1"/>
    <n v="4991.66"/>
    <x v="10"/>
    <s v="low"/>
  </r>
  <r>
    <x v="545"/>
    <d v="2024-06-12T00:00:00"/>
    <x v="4"/>
    <s v="Lipstick"/>
    <x v="1"/>
    <n v="2"/>
    <n v="1200.28"/>
    <n v="0.05"/>
    <x v="3"/>
    <x v="4"/>
    <x v="1"/>
    <n v="2280.5300000000002"/>
    <x v="11"/>
    <s v="low"/>
  </r>
  <r>
    <x v="546"/>
    <d v="2024-09-27T00:00:00"/>
    <x v="4"/>
    <s v="Perfume"/>
    <x v="5"/>
    <n v="3"/>
    <n v="4907.68"/>
    <n v="0.25"/>
    <x v="1"/>
    <x v="4"/>
    <x v="0"/>
    <n v="11042.28"/>
    <x v="3"/>
    <s v="medium"/>
  </r>
  <r>
    <x v="547"/>
    <d v="2024-03-18T00:00:00"/>
    <x v="2"/>
    <s v="Comic"/>
    <x v="5"/>
    <n v="3"/>
    <n v="2677.94"/>
    <n v="0.2"/>
    <x v="0"/>
    <x v="2"/>
    <x v="1"/>
    <n v="6427.06"/>
    <x v="7"/>
    <s v="low"/>
  </r>
  <r>
    <x v="548"/>
    <d v="2024-12-20T00:00:00"/>
    <x v="3"/>
    <s v="Power Bank"/>
    <x v="1"/>
    <n v="1"/>
    <n v="3066.74"/>
    <n v="0.15"/>
    <x v="1"/>
    <x v="2"/>
    <x v="1"/>
    <n v="2606.73"/>
    <x v="4"/>
    <s v="low"/>
  </r>
  <r>
    <x v="549"/>
    <d v="2024-06-10T00:00:00"/>
    <x v="0"/>
    <s v="Curtain"/>
    <x v="5"/>
    <n v="1"/>
    <n v="2922.95"/>
    <n v="0.2"/>
    <x v="1"/>
    <x v="2"/>
    <x v="1"/>
    <n v="2338.36"/>
    <x v="11"/>
    <s v="low"/>
  </r>
  <r>
    <x v="550"/>
    <d v="2024-12-21T00:00:00"/>
    <x v="3"/>
    <s v="Smartwatch"/>
    <x v="5"/>
    <n v="2"/>
    <n v="5306.5"/>
    <n v="0.2"/>
    <x v="0"/>
    <x v="1"/>
    <x v="1"/>
    <n v="8490.4"/>
    <x v="4"/>
    <s v="low"/>
  </r>
  <r>
    <x v="551"/>
    <d v="2024-03-09T00:00:00"/>
    <x v="2"/>
    <s v="Diary"/>
    <x v="5"/>
    <n v="2"/>
    <n v="957.82"/>
    <n v="0.05"/>
    <x v="1"/>
    <x v="1"/>
    <x v="0"/>
    <n v="1819.8580000000002"/>
    <x v="7"/>
    <s v="low"/>
  </r>
  <r>
    <x v="552"/>
    <d v="2024-03-19T00:00:00"/>
    <x v="1"/>
    <s v="T-Shirt"/>
    <x v="6"/>
    <n v="4"/>
    <n v="4320.37"/>
    <n v="0.05"/>
    <x v="0"/>
    <x v="0"/>
    <x v="1"/>
    <n v="16417.41"/>
    <x v="7"/>
    <s v="medium"/>
  </r>
  <r>
    <x v="553"/>
    <d v="2024-06-04T00:00:00"/>
    <x v="3"/>
    <s v="Power Bank"/>
    <x v="7"/>
    <n v="5"/>
    <n v="5894.84"/>
    <n v="0.25"/>
    <x v="0"/>
    <x v="4"/>
    <x v="1"/>
    <n v="22105.65"/>
    <x v="11"/>
    <s v="high"/>
  </r>
  <r>
    <x v="554"/>
    <d v="2024-01-05T00:00:00"/>
    <x v="3"/>
    <s v="Bluetooth Speaker"/>
    <x v="4"/>
    <n v="3"/>
    <n v="3902.96"/>
    <n v="0.2"/>
    <x v="0"/>
    <x v="0"/>
    <x v="0"/>
    <n v="9367.1"/>
    <x v="1"/>
    <s v="low"/>
  </r>
  <r>
    <x v="555"/>
    <d v="2024-06-13T00:00:00"/>
    <x v="3"/>
    <s v="Phone Cover"/>
    <x v="0"/>
    <n v="2"/>
    <n v="2199.69"/>
    <n v="0.25"/>
    <x v="1"/>
    <x v="0"/>
    <x v="1"/>
    <n v="3299.53"/>
    <x v="11"/>
    <s v="low"/>
  </r>
  <r>
    <x v="556"/>
    <d v="2024-09-06T00:00:00"/>
    <x v="2"/>
    <s v="Diary"/>
    <x v="7"/>
    <n v="6"/>
    <n v="1856.15"/>
    <n v="0.2"/>
    <x v="0"/>
    <x v="1"/>
    <x v="1"/>
    <n v="8909.52"/>
    <x v="3"/>
    <s v="low"/>
  </r>
  <r>
    <x v="557"/>
    <d v="2024-06-23T00:00:00"/>
    <x v="1"/>
    <s v="Kurti"/>
    <x v="6"/>
    <n v="1"/>
    <n v="3300.3"/>
    <n v="0.1"/>
    <x v="0"/>
    <x v="0"/>
    <x v="1"/>
    <n v="2970.27"/>
    <x v="11"/>
    <s v="low"/>
  </r>
  <r>
    <x v="558"/>
    <d v="2024-08-20T00:00:00"/>
    <x v="2"/>
    <s v="Notebook"/>
    <x v="3"/>
    <n v="4"/>
    <n v="6876.95"/>
    <n v="0.2"/>
    <x v="0"/>
    <x v="4"/>
    <x v="0"/>
    <n v="22006.240000000002"/>
    <x v="2"/>
    <s v="high"/>
  </r>
  <r>
    <x v="559"/>
    <d v="2024-05-18T00:00:00"/>
    <x v="4"/>
    <s v="Lipstick"/>
    <x v="6"/>
    <n v="3"/>
    <n v="5940.31"/>
    <n v="0"/>
    <x v="0"/>
    <x v="3"/>
    <x v="1"/>
    <n v="17820.93"/>
    <x v="9"/>
    <s v="medium"/>
  </r>
  <r>
    <x v="560"/>
    <d v="2024-03-13T00:00:00"/>
    <x v="0"/>
    <s v="Cushion"/>
    <x v="1"/>
    <n v="2"/>
    <n v="6357.21"/>
    <n v="0"/>
    <x v="2"/>
    <x v="2"/>
    <x v="1"/>
    <n v="12714.42"/>
    <x v="7"/>
    <s v="medium"/>
  </r>
  <r>
    <x v="561"/>
    <d v="2024-07-10T00:00:00"/>
    <x v="2"/>
    <s v="Novel"/>
    <x v="2"/>
    <n v="2"/>
    <n v="7990.18"/>
    <n v="0.1"/>
    <x v="0"/>
    <x v="4"/>
    <x v="1"/>
    <n v="14382.32"/>
    <x v="6"/>
    <s v="medium"/>
  </r>
  <r>
    <x v="562"/>
    <d v="2024-10-21T00:00:00"/>
    <x v="3"/>
    <s v="Phone Cover"/>
    <x v="0"/>
    <n v="3"/>
    <n v="7296.63"/>
    <n v="0"/>
    <x v="0"/>
    <x v="4"/>
    <x v="0"/>
    <n v="21889.89"/>
    <x v="5"/>
    <s v="high"/>
  </r>
  <r>
    <x v="563"/>
    <d v="2024-02-18T00:00:00"/>
    <x v="1"/>
    <s v="Handbag"/>
    <x v="3"/>
    <n v="5"/>
    <n v="7372.85"/>
    <n v="0"/>
    <x v="2"/>
    <x v="0"/>
    <x v="1"/>
    <n v="36864.25"/>
    <x v="10"/>
    <s v="high"/>
  </r>
  <r>
    <x v="564"/>
    <d v="2024-09-22T00:00:00"/>
    <x v="1"/>
    <s v="Kurti"/>
    <x v="1"/>
    <n v="3"/>
    <n v="7853.58"/>
    <n v="0.25"/>
    <x v="1"/>
    <x v="1"/>
    <x v="0"/>
    <n v="17670.560000000001"/>
    <x v="3"/>
    <s v="medium"/>
  </r>
  <r>
    <x v="565"/>
    <d v="2024-03-15T00:00:00"/>
    <x v="3"/>
    <s v="Phone Cover"/>
    <x v="2"/>
    <n v="4"/>
    <n v="2847.24"/>
    <n v="0.2"/>
    <x v="3"/>
    <x v="4"/>
    <x v="1"/>
    <n v="9111.17"/>
    <x v="7"/>
    <s v="low"/>
  </r>
  <r>
    <x v="566"/>
    <d v="2024-10-30T00:00:00"/>
    <x v="1"/>
    <s v="Jeans"/>
    <x v="3"/>
    <n v="6"/>
    <n v="7070.54"/>
    <n v="0.05"/>
    <x v="1"/>
    <x v="3"/>
    <x v="0"/>
    <n v="40302.080000000002"/>
    <x v="5"/>
    <s v="high"/>
  </r>
  <r>
    <x v="567"/>
    <d v="2024-05-03T00:00:00"/>
    <x v="4"/>
    <s v="Perfume"/>
    <x v="6"/>
    <n v="5"/>
    <n v="981.07"/>
    <n v="0.25"/>
    <x v="0"/>
    <x v="3"/>
    <x v="1"/>
    <n v="3679.01"/>
    <x v="9"/>
    <s v="low"/>
  </r>
  <r>
    <x v="568"/>
    <d v="2024-08-10T00:00:00"/>
    <x v="2"/>
    <s v="Novel"/>
    <x v="7"/>
    <n v="3"/>
    <n v="7959.99"/>
    <n v="0.05"/>
    <x v="3"/>
    <x v="4"/>
    <x v="0"/>
    <n v="22685.97"/>
    <x v="2"/>
    <s v="high"/>
  </r>
  <r>
    <x v="569"/>
    <d v="2024-02-23T00:00:00"/>
    <x v="3"/>
    <s v="Bluetooth Speaker"/>
    <x v="3"/>
    <n v="1"/>
    <n v="6007.98"/>
    <n v="0.15"/>
    <x v="0"/>
    <x v="0"/>
    <x v="1"/>
    <n v="5106.78"/>
    <x v="10"/>
    <s v="low"/>
  </r>
  <r>
    <x v="570"/>
    <d v="2024-04-05T00:00:00"/>
    <x v="2"/>
    <s v="Guide Book"/>
    <x v="3"/>
    <n v="4"/>
    <n v="2409.41"/>
    <n v="0"/>
    <x v="2"/>
    <x v="1"/>
    <x v="1"/>
    <n v="9637.64"/>
    <x v="8"/>
    <s v="low"/>
  </r>
  <r>
    <x v="571"/>
    <d v="2024-08-11T00:00:00"/>
    <x v="4"/>
    <s v="Hair Oil"/>
    <x v="3"/>
    <n v="5"/>
    <n v="5269.68"/>
    <n v="0.05"/>
    <x v="0"/>
    <x v="3"/>
    <x v="1"/>
    <n v="25030.98"/>
    <x v="2"/>
    <s v="high"/>
  </r>
  <r>
    <x v="572"/>
    <d v="2024-01-01T00:00:00"/>
    <x v="1"/>
    <s v="Sneakers"/>
    <x v="3"/>
    <n v="4"/>
    <n v="709.91"/>
    <n v="0"/>
    <x v="2"/>
    <x v="1"/>
    <x v="1"/>
    <n v="2839.64"/>
    <x v="1"/>
    <s v="low"/>
  </r>
  <r>
    <x v="573"/>
    <d v="2024-07-02T00:00:00"/>
    <x v="4"/>
    <s v="Perfume"/>
    <x v="6"/>
    <n v="6"/>
    <n v="5016.6899999999996"/>
    <n v="0.1"/>
    <x v="0"/>
    <x v="4"/>
    <x v="0"/>
    <n v="27090.13"/>
    <x v="6"/>
    <s v="high"/>
  </r>
  <r>
    <x v="574"/>
    <d v="2024-11-08T00:00:00"/>
    <x v="3"/>
    <s v="Smartwatch"/>
    <x v="2"/>
    <n v="6"/>
    <n v="6499.15"/>
    <n v="0"/>
    <x v="0"/>
    <x v="0"/>
    <x v="1"/>
    <n v="38994.9"/>
    <x v="0"/>
    <s v="high"/>
  </r>
  <r>
    <x v="575"/>
    <d v="2024-03-13T00:00:00"/>
    <x v="3"/>
    <s v="Phone Cover"/>
    <x v="3"/>
    <n v="5"/>
    <n v="426.78"/>
    <n v="0.25"/>
    <x v="0"/>
    <x v="2"/>
    <x v="1"/>
    <n v="1600.42"/>
    <x v="7"/>
    <s v="low"/>
  </r>
  <r>
    <x v="576"/>
    <d v="2024-02-07T00:00:00"/>
    <x v="0"/>
    <s v="Bedsheet"/>
    <x v="5"/>
    <n v="4"/>
    <n v="6545.75"/>
    <n v="0"/>
    <x v="2"/>
    <x v="3"/>
    <x v="0"/>
    <n v="26183"/>
    <x v="10"/>
    <s v="high"/>
  </r>
  <r>
    <x v="577"/>
    <d v="2024-02-17T00:00:00"/>
    <x v="0"/>
    <s v="Bedsheet"/>
    <x v="0"/>
    <n v="5"/>
    <n v="6659.3"/>
    <n v="0.1"/>
    <x v="3"/>
    <x v="4"/>
    <x v="1"/>
    <n v="29966.85"/>
    <x v="10"/>
    <s v="high"/>
  </r>
  <r>
    <x v="578"/>
    <d v="2024-09-28T00:00:00"/>
    <x v="2"/>
    <s v="Diary"/>
    <x v="4"/>
    <n v="6"/>
    <n v="7427.63"/>
    <n v="0"/>
    <x v="0"/>
    <x v="0"/>
    <x v="0"/>
    <n v="44565.78"/>
    <x v="3"/>
    <s v="high"/>
  </r>
  <r>
    <x v="579"/>
    <d v="2024-09-13T00:00:00"/>
    <x v="0"/>
    <s v="Table Lamp"/>
    <x v="4"/>
    <n v="4"/>
    <n v="1713.64"/>
    <n v="0.1"/>
    <x v="2"/>
    <x v="0"/>
    <x v="1"/>
    <n v="6169.1"/>
    <x v="3"/>
    <s v="low"/>
  </r>
  <r>
    <x v="580"/>
    <d v="2024-07-17T00:00:00"/>
    <x v="0"/>
    <s v="Bedsheet"/>
    <x v="7"/>
    <n v="5"/>
    <n v="1952.64"/>
    <n v="0.2"/>
    <x v="0"/>
    <x v="3"/>
    <x v="0"/>
    <n v="7810.56"/>
    <x v="6"/>
    <s v="low"/>
  </r>
  <r>
    <x v="581"/>
    <d v="2024-11-13T00:00:00"/>
    <x v="1"/>
    <s v="T-Shirt"/>
    <x v="4"/>
    <n v="5"/>
    <n v="1935.34"/>
    <n v="0.2"/>
    <x v="3"/>
    <x v="0"/>
    <x v="1"/>
    <n v="7741.36"/>
    <x v="0"/>
    <s v="low"/>
  </r>
  <r>
    <x v="582"/>
    <d v="2024-01-31T00:00:00"/>
    <x v="4"/>
    <s v="Perfume"/>
    <x v="3"/>
    <n v="3"/>
    <n v="1860.9"/>
    <n v="0.1"/>
    <x v="3"/>
    <x v="4"/>
    <x v="1"/>
    <n v="5024.43"/>
    <x v="1"/>
    <s v="low"/>
  </r>
  <r>
    <x v="583"/>
    <d v="2024-02-07T00:00:00"/>
    <x v="3"/>
    <s v="Phone Cover"/>
    <x v="4"/>
    <n v="1"/>
    <n v="7941.69"/>
    <n v="0.05"/>
    <x v="0"/>
    <x v="1"/>
    <x v="1"/>
    <n v="7544.61"/>
    <x v="10"/>
    <s v="low"/>
  </r>
  <r>
    <x v="584"/>
    <d v="2024-06-15T00:00:00"/>
    <x v="3"/>
    <s v="Smartwatch"/>
    <x v="6"/>
    <n v="2"/>
    <n v="3403.76"/>
    <n v="0.15"/>
    <x v="0"/>
    <x v="0"/>
    <x v="0"/>
    <n v="5786.39"/>
    <x v="11"/>
    <s v="low"/>
  </r>
  <r>
    <x v="585"/>
    <d v="2024-08-22T00:00:00"/>
    <x v="1"/>
    <s v="T-Shirt"/>
    <x v="3"/>
    <n v="6"/>
    <n v="1761.82"/>
    <n v="0.25"/>
    <x v="0"/>
    <x v="2"/>
    <x v="1"/>
    <n v="7928.19"/>
    <x v="2"/>
    <s v="low"/>
  </r>
  <r>
    <x v="586"/>
    <d v="2024-11-17T00:00:00"/>
    <x v="2"/>
    <s v="Diary"/>
    <x v="6"/>
    <n v="5"/>
    <n v="5019.0600000000004"/>
    <n v="0.2"/>
    <x v="2"/>
    <x v="2"/>
    <x v="0"/>
    <n v="20076.240000000002"/>
    <x v="0"/>
    <s v="high"/>
  </r>
  <r>
    <x v="587"/>
    <d v="2024-06-26T00:00:00"/>
    <x v="3"/>
    <s v="Power Bank"/>
    <x v="3"/>
    <n v="1"/>
    <n v="1722.4"/>
    <n v="0.2"/>
    <x v="0"/>
    <x v="1"/>
    <x v="1"/>
    <n v="1377.92"/>
    <x v="11"/>
    <s v="low"/>
  </r>
  <r>
    <x v="588"/>
    <d v="2024-08-05T00:00:00"/>
    <x v="4"/>
    <s v="Hair Oil"/>
    <x v="5"/>
    <n v="5"/>
    <n v="1596.83"/>
    <n v="0.05"/>
    <x v="0"/>
    <x v="1"/>
    <x v="1"/>
    <n v="7584.94"/>
    <x v="2"/>
    <s v="low"/>
  </r>
  <r>
    <x v="589"/>
    <d v="2024-05-03T00:00:00"/>
    <x v="2"/>
    <s v="Notebook"/>
    <x v="6"/>
    <n v="2"/>
    <n v="1303.6099999999999"/>
    <n v="0"/>
    <x v="3"/>
    <x v="1"/>
    <x v="0"/>
    <n v="2607.2199999999998"/>
    <x v="9"/>
    <s v="low"/>
  </r>
  <r>
    <x v="590"/>
    <d v="2024-01-14T00:00:00"/>
    <x v="2"/>
    <s v="Diary"/>
    <x v="2"/>
    <n v="6"/>
    <n v="887.53"/>
    <n v="0"/>
    <x v="0"/>
    <x v="2"/>
    <x v="1"/>
    <n v="5325.18"/>
    <x v="1"/>
    <s v="low"/>
  </r>
  <r>
    <x v="591"/>
    <d v="2024-10-13T00:00:00"/>
    <x v="4"/>
    <s v="Sunscreen"/>
    <x v="0"/>
    <n v="5"/>
    <n v="7980.13"/>
    <n v="0.05"/>
    <x v="1"/>
    <x v="2"/>
    <x v="1"/>
    <n v="37905.620000000003"/>
    <x v="5"/>
    <s v="high"/>
  </r>
  <r>
    <x v="592"/>
    <d v="2024-08-13T00:00:00"/>
    <x v="1"/>
    <s v="Kurti"/>
    <x v="0"/>
    <n v="2"/>
    <n v="3530.93"/>
    <n v="0.25"/>
    <x v="0"/>
    <x v="2"/>
    <x v="1"/>
    <n v="5296.39"/>
    <x v="2"/>
    <s v="low"/>
  </r>
  <r>
    <x v="593"/>
    <d v="2024-12-22T00:00:00"/>
    <x v="4"/>
    <s v="Perfume"/>
    <x v="3"/>
    <n v="1"/>
    <n v="3659.39"/>
    <n v="0.15"/>
    <x v="2"/>
    <x v="3"/>
    <x v="1"/>
    <n v="3110.48"/>
    <x v="4"/>
    <s v="low"/>
  </r>
  <r>
    <x v="594"/>
    <d v="2024-03-28T00:00:00"/>
    <x v="4"/>
    <s v="Face Wash"/>
    <x v="5"/>
    <n v="4"/>
    <n v="3635.2"/>
    <n v="0.15"/>
    <x v="3"/>
    <x v="3"/>
    <x v="0"/>
    <n v="12359.68"/>
    <x v="7"/>
    <s v="medium"/>
  </r>
  <r>
    <x v="595"/>
    <d v="2024-06-29T00:00:00"/>
    <x v="0"/>
    <s v="Cushion"/>
    <x v="4"/>
    <n v="3"/>
    <n v="2667.75"/>
    <n v="0.2"/>
    <x v="3"/>
    <x v="2"/>
    <x v="1"/>
    <n v="6402.6"/>
    <x v="11"/>
    <s v="low"/>
  </r>
  <r>
    <x v="596"/>
    <d v="2024-03-07T00:00:00"/>
    <x v="4"/>
    <s v="Perfume"/>
    <x v="0"/>
    <n v="5"/>
    <n v="3597.88"/>
    <n v="0"/>
    <x v="1"/>
    <x v="1"/>
    <x v="0"/>
    <n v="17989.400000000001"/>
    <x v="7"/>
    <s v="medium"/>
  </r>
  <r>
    <x v="597"/>
    <d v="2024-11-25T00:00:00"/>
    <x v="0"/>
    <s v="Cushion"/>
    <x v="0"/>
    <n v="4"/>
    <n v="2376.52"/>
    <n v="0.15"/>
    <x v="0"/>
    <x v="0"/>
    <x v="0"/>
    <n v="8080.17"/>
    <x v="0"/>
    <s v="low"/>
  </r>
  <r>
    <x v="598"/>
    <d v="2024-07-31T00:00:00"/>
    <x v="1"/>
    <s v="Sneakers"/>
    <x v="5"/>
    <n v="5"/>
    <n v="6297.02"/>
    <n v="0.1"/>
    <x v="0"/>
    <x v="0"/>
    <x v="0"/>
    <n v="28336.59"/>
    <x v="6"/>
    <s v="high"/>
  </r>
  <r>
    <x v="599"/>
    <d v="2024-03-18T00:00:00"/>
    <x v="4"/>
    <s v="Perfume"/>
    <x v="1"/>
    <n v="4"/>
    <n v="1142.1199999999999"/>
    <n v="0.05"/>
    <x v="1"/>
    <x v="0"/>
    <x v="1"/>
    <n v="4340.0600000000004"/>
    <x v="7"/>
    <s v="low"/>
  </r>
  <r>
    <x v="600"/>
    <d v="2024-07-22T00:00:00"/>
    <x v="4"/>
    <s v="Face Wash"/>
    <x v="5"/>
    <n v="3"/>
    <n v="5822.54"/>
    <n v="0.1"/>
    <x v="2"/>
    <x v="3"/>
    <x v="1"/>
    <n v="15720.86"/>
    <x v="6"/>
    <s v="medium"/>
  </r>
  <r>
    <x v="601"/>
    <d v="2024-11-11T00:00:00"/>
    <x v="1"/>
    <s v="Kurti"/>
    <x v="4"/>
    <n v="5"/>
    <n v="7329.17"/>
    <n v="0.25"/>
    <x v="0"/>
    <x v="2"/>
    <x v="1"/>
    <n v="27484.39"/>
    <x v="0"/>
    <s v="high"/>
  </r>
  <r>
    <x v="602"/>
    <d v="2024-02-05T00:00:00"/>
    <x v="3"/>
    <s v="Smartwatch"/>
    <x v="3"/>
    <n v="2"/>
    <n v="3200.47"/>
    <n v="0.25"/>
    <x v="0"/>
    <x v="4"/>
    <x v="1"/>
    <n v="4800.7"/>
    <x v="10"/>
    <s v="low"/>
  </r>
  <r>
    <x v="603"/>
    <d v="2024-06-09T00:00:00"/>
    <x v="4"/>
    <s v="Lipstick"/>
    <x v="5"/>
    <n v="4"/>
    <n v="2692.21"/>
    <n v="0.2"/>
    <x v="0"/>
    <x v="4"/>
    <x v="1"/>
    <n v="8615.0720000000001"/>
    <x v="11"/>
    <s v="low"/>
  </r>
  <r>
    <x v="604"/>
    <d v="2024-08-04T00:00:00"/>
    <x v="3"/>
    <s v="Earbuds"/>
    <x v="5"/>
    <n v="2"/>
    <n v="1903.28"/>
    <n v="0"/>
    <x v="0"/>
    <x v="4"/>
    <x v="1"/>
    <n v="3806.56"/>
    <x v="2"/>
    <s v="low"/>
  </r>
  <r>
    <x v="605"/>
    <d v="2024-10-03T00:00:00"/>
    <x v="3"/>
    <s v="Earbuds"/>
    <x v="4"/>
    <n v="5"/>
    <n v="919.25"/>
    <n v="0.25"/>
    <x v="0"/>
    <x v="2"/>
    <x v="0"/>
    <n v="3447.19"/>
    <x v="5"/>
    <s v="low"/>
  </r>
  <r>
    <x v="606"/>
    <d v="2024-06-19T00:00:00"/>
    <x v="1"/>
    <s v="Jeans"/>
    <x v="2"/>
    <n v="3"/>
    <n v="1126.47"/>
    <n v="0.25"/>
    <x v="0"/>
    <x v="4"/>
    <x v="1"/>
    <n v="2534.56"/>
    <x v="11"/>
    <s v="low"/>
  </r>
  <r>
    <x v="607"/>
    <d v="2024-02-09T00:00:00"/>
    <x v="2"/>
    <s v="Novel"/>
    <x v="2"/>
    <n v="2"/>
    <n v="2208.0100000000002"/>
    <n v="0.1"/>
    <x v="0"/>
    <x v="4"/>
    <x v="0"/>
    <n v="3974.42"/>
    <x v="10"/>
    <s v="low"/>
  </r>
  <r>
    <x v="608"/>
    <d v="2024-11-10T00:00:00"/>
    <x v="1"/>
    <s v="Handbag"/>
    <x v="6"/>
    <n v="4"/>
    <n v="6202.45"/>
    <n v="0"/>
    <x v="0"/>
    <x v="2"/>
    <x v="1"/>
    <n v="24809.8"/>
    <x v="0"/>
    <s v="high"/>
  </r>
  <r>
    <x v="609"/>
    <d v="2024-07-01T00:00:00"/>
    <x v="4"/>
    <s v="Sunscreen"/>
    <x v="0"/>
    <n v="4"/>
    <n v="7716"/>
    <n v="0.1"/>
    <x v="0"/>
    <x v="4"/>
    <x v="1"/>
    <n v="27777.599999999999"/>
    <x v="6"/>
    <s v="high"/>
  </r>
  <r>
    <x v="610"/>
    <d v="2024-01-27T00:00:00"/>
    <x v="2"/>
    <s v="Guide Book"/>
    <x v="4"/>
    <n v="5"/>
    <n v="6749.53"/>
    <n v="0.25"/>
    <x v="0"/>
    <x v="4"/>
    <x v="1"/>
    <n v="25310.74"/>
    <x v="1"/>
    <s v="high"/>
  </r>
  <r>
    <x v="611"/>
    <d v="2024-02-28T00:00:00"/>
    <x v="4"/>
    <s v="Face Wash"/>
    <x v="1"/>
    <n v="3"/>
    <n v="1176.46"/>
    <n v="0"/>
    <x v="2"/>
    <x v="2"/>
    <x v="1"/>
    <n v="3529.38"/>
    <x v="10"/>
    <s v="low"/>
  </r>
  <r>
    <x v="612"/>
    <d v="2024-05-06T00:00:00"/>
    <x v="1"/>
    <s v="Jeans"/>
    <x v="7"/>
    <n v="3"/>
    <n v="708.9"/>
    <n v="0"/>
    <x v="0"/>
    <x v="2"/>
    <x v="1"/>
    <n v="2126.6999999999998"/>
    <x v="9"/>
    <s v="low"/>
  </r>
  <r>
    <x v="613"/>
    <d v="2024-02-15T00:00:00"/>
    <x v="4"/>
    <s v="Perfume"/>
    <x v="6"/>
    <n v="6"/>
    <n v="3761.74"/>
    <n v="0"/>
    <x v="0"/>
    <x v="4"/>
    <x v="1"/>
    <n v="22570.44"/>
    <x v="10"/>
    <s v="high"/>
  </r>
  <r>
    <x v="614"/>
    <d v="2024-08-28T00:00:00"/>
    <x v="4"/>
    <s v="Sunscreen"/>
    <x v="0"/>
    <n v="1"/>
    <n v="4212.76"/>
    <n v="0.1"/>
    <x v="0"/>
    <x v="2"/>
    <x v="1"/>
    <n v="3791.4840000000004"/>
    <x v="2"/>
    <s v="low"/>
  </r>
  <r>
    <x v="615"/>
    <d v="2024-09-17T00:00:00"/>
    <x v="3"/>
    <s v="Phone Cover"/>
    <x v="2"/>
    <n v="5"/>
    <n v="3884.11"/>
    <n v="0.1"/>
    <x v="0"/>
    <x v="4"/>
    <x v="0"/>
    <n v="17478.490000000002"/>
    <x v="3"/>
    <s v="medium"/>
  </r>
  <r>
    <x v="616"/>
    <d v="2024-09-23T00:00:00"/>
    <x v="3"/>
    <s v="Bluetooth Speaker"/>
    <x v="3"/>
    <n v="1"/>
    <n v="4874.92"/>
    <n v="0"/>
    <x v="0"/>
    <x v="3"/>
    <x v="1"/>
    <n v="4874.92"/>
    <x v="3"/>
    <s v="low"/>
  </r>
  <r>
    <x v="617"/>
    <d v="2024-12-11T00:00:00"/>
    <x v="4"/>
    <s v="Hair Oil"/>
    <x v="7"/>
    <n v="2"/>
    <n v="1581.92"/>
    <n v="0.15"/>
    <x v="0"/>
    <x v="0"/>
    <x v="0"/>
    <n v="2689.26"/>
    <x v="4"/>
    <s v="low"/>
  </r>
  <r>
    <x v="618"/>
    <d v="2024-04-03T00:00:00"/>
    <x v="2"/>
    <s v="Diary"/>
    <x v="7"/>
    <n v="3"/>
    <n v="7321.55"/>
    <n v="0.25"/>
    <x v="1"/>
    <x v="3"/>
    <x v="0"/>
    <n v="16473.490000000002"/>
    <x v="8"/>
    <s v="medium"/>
  </r>
  <r>
    <x v="619"/>
    <d v="2024-07-03T00:00:00"/>
    <x v="2"/>
    <s v="Diary"/>
    <x v="0"/>
    <n v="4"/>
    <n v="7907.78"/>
    <n v="0.15"/>
    <x v="1"/>
    <x v="1"/>
    <x v="1"/>
    <n v="26886.45"/>
    <x v="6"/>
    <s v="high"/>
  </r>
  <r>
    <x v="620"/>
    <d v="2024-12-05T00:00:00"/>
    <x v="2"/>
    <s v="Comic"/>
    <x v="1"/>
    <n v="3"/>
    <n v="5721.94"/>
    <n v="0.25"/>
    <x v="2"/>
    <x v="1"/>
    <x v="1"/>
    <n v="12874.36"/>
    <x v="4"/>
    <s v="medium"/>
  </r>
  <r>
    <x v="621"/>
    <d v="2024-02-04T00:00:00"/>
    <x v="4"/>
    <s v="Perfume"/>
    <x v="0"/>
    <n v="3"/>
    <n v="3906.04"/>
    <n v="0"/>
    <x v="0"/>
    <x v="1"/>
    <x v="1"/>
    <n v="11718.12"/>
    <x v="10"/>
    <s v="medium"/>
  </r>
  <r>
    <x v="622"/>
    <d v="2024-09-03T00:00:00"/>
    <x v="3"/>
    <s v="Phone Cover"/>
    <x v="0"/>
    <n v="6"/>
    <n v="1782.8"/>
    <n v="0.05"/>
    <x v="0"/>
    <x v="4"/>
    <x v="1"/>
    <n v="10161.959999999999"/>
    <x v="3"/>
    <s v="medium"/>
  </r>
  <r>
    <x v="623"/>
    <d v="2024-10-09T00:00:00"/>
    <x v="4"/>
    <s v="Lipstick"/>
    <x v="0"/>
    <n v="6"/>
    <n v="324.97000000000003"/>
    <n v="0.15"/>
    <x v="3"/>
    <x v="1"/>
    <x v="1"/>
    <n v="1657.35"/>
    <x v="5"/>
    <s v="low"/>
  </r>
  <r>
    <x v="624"/>
    <d v="2024-02-28T00:00:00"/>
    <x v="1"/>
    <s v="Jeans"/>
    <x v="3"/>
    <n v="6"/>
    <n v="1392.79"/>
    <n v="0.1"/>
    <x v="0"/>
    <x v="2"/>
    <x v="0"/>
    <n v="7521.07"/>
    <x v="10"/>
    <s v="low"/>
  </r>
  <r>
    <x v="625"/>
    <d v="2024-10-11T00:00:00"/>
    <x v="4"/>
    <s v="Perfume"/>
    <x v="7"/>
    <n v="1"/>
    <n v="6145.1"/>
    <n v="0.1"/>
    <x v="3"/>
    <x v="3"/>
    <x v="1"/>
    <n v="5530.59"/>
    <x v="5"/>
    <s v="low"/>
  </r>
  <r>
    <x v="626"/>
    <d v="2024-12-09T00:00:00"/>
    <x v="2"/>
    <s v="Novel"/>
    <x v="3"/>
    <n v="3"/>
    <n v="6750.86"/>
    <n v="0"/>
    <x v="0"/>
    <x v="4"/>
    <x v="1"/>
    <n v="20252.580000000002"/>
    <x v="4"/>
    <s v="high"/>
  </r>
  <r>
    <x v="627"/>
    <d v="2024-05-28T00:00:00"/>
    <x v="3"/>
    <s v="Earbuds"/>
    <x v="7"/>
    <n v="1"/>
    <n v="4392.1000000000004"/>
    <n v="0"/>
    <x v="3"/>
    <x v="3"/>
    <x v="1"/>
    <n v="4392.1000000000004"/>
    <x v="9"/>
    <s v="low"/>
  </r>
  <r>
    <x v="628"/>
    <d v="2024-08-05T00:00:00"/>
    <x v="3"/>
    <s v="Power Bank"/>
    <x v="0"/>
    <n v="3"/>
    <n v="4926.75"/>
    <n v="0.15"/>
    <x v="2"/>
    <x v="4"/>
    <x v="0"/>
    <n v="12563.21"/>
    <x v="2"/>
    <s v="medium"/>
  </r>
  <r>
    <x v="629"/>
    <d v="2024-07-05T00:00:00"/>
    <x v="4"/>
    <s v="Face Wash"/>
    <x v="6"/>
    <n v="5"/>
    <n v="3861.02"/>
    <n v="0"/>
    <x v="0"/>
    <x v="4"/>
    <x v="1"/>
    <n v="19305.099999999999"/>
    <x v="6"/>
    <s v="medium"/>
  </r>
  <r>
    <x v="630"/>
    <d v="2024-06-30T00:00:00"/>
    <x v="1"/>
    <s v="Jeans"/>
    <x v="4"/>
    <n v="6"/>
    <n v="1624.89"/>
    <n v="0.25"/>
    <x v="1"/>
    <x v="0"/>
    <x v="1"/>
    <n v="7312.01"/>
    <x v="11"/>
    <s v="low"/>
  </r>
  <r>
    <x v="631"/>
    <d v="2024-01-27T00:00:00"/>
    <x v="0"/>
    <s v="Table Lamp"/>
    <x v="2"/>
    <n v="1"/>
    <n v="3784.25"/>
    <n v="0"/>
    <x v="2"/>
    <x v="4"/>
    <x v="1"/>
    <n v="3784.25"/>
    <x v="1"/>
    <s v="low"/>
  </r>
  <r>
    <x v="632"/>
    <d v="2024-10-10T00:00:00"/>
    <x v="4"/>
    <s v="Sunscreen"/>
    <x v="3"/>
    <n v="3"/>
    <n v="5282.79"/>
    <n v="0.25"/>
    <x v="0"/>
    <x v="3"/>
    <x v="0"/>
    <n v="11886.28"/>
    <x v="5"/>
    <s v="medium"/>
  </r>
  <r>
    <x v="633"/>
    <d v="2024-11-28T00:00:00"/>
    <x v="4"/>
    <s v="Lipstick"/>
    <x v="2"/>
    <n v="5"/>
    <n v="1296.58"/>
    <n v="0.1"/>
    <x v="2"/>
    <x v="0"/>
    <x v="1"/>
    <n v="5834.61"/>
    <x v="0"/>
    <s v="low"/>
  </r>
  <r>
    <x v="634"/>
    <d v="2024-12-26T00:00:00"/>
    <x v="3"/>
    <s v="Phone Cover"/>
    <x v="6"/>
    <n v="2"/>
    <n v="6281.43"/>
    <n v="0.15"/>
    <x v="0"/>
    <x v="2"/>
    <x v="1"/>
    <n v="10678.43"/>
    <x v="4"/>
    <s v="medium"/>
  </r>
  <r>
    <x v="635"/>
    <d v="2024-05-23T00:00:00"/>
    <x v="1"/>
    <s v="Jeans"/>
    <x v="5"/>
    <n v="6"/>
    <n v="4011.14"/>
    <n v="0.15"/>
    <x v="0"/>
    <x v="0"/>
    <x v="1"/>
    <n v="20456.810000000001"/>
    <x v="9"/>
    <s v="high"/>
  </r>
  <r>
    <x v="636"/>
    <d v="2024-09-03T00:00:00"/>
    <x v="3"/>
    <s v="Smartwatch"/>
    <x v="5"/>
    <n v="2"/>
    <n v="2892.1"/>
    <n v="0.05"/>
    <x v="1"/>
    <x v="1"/>
    <x v="1"/>
    <n v="5494.99"/>
    <x v="3"/>
    <s v="low"/>
  </r>
  <r>
    <x v="637"/>
    <d v="2024-02-12T00:00:00"/>
    <x v="1"/>
    <s v="Handbag"/>
    <x v="1"/>
    <n v="1"/>
    <n v="5453.74"/>
    <n v="0.2"/>
    <x v="2"/>
    <x v="0"/>
    <x v="1"/>
    <n v="4362.99"/>
    <x v="10"/>
    <s v="low"/>
  </r>
  <r>
    <x v="638"/>
    <d v="2024-07-23T00:00:00"/>
    <x v="3"/>
    <s v="Earbuds"/>
    <x v="5"/>
    <n v="1"/>
    <n v="6934.18"/>
    <n v="0.15"/>
    <x v="0"/>
    <x v="1"/>
    <x v="0"/>
    <n v="5894.05"/>
    <x v="6"/>
    <s v="low"/>
  </r>
  <r>
    <x v="639"/>
    <d v="2024-08-21T00:00:00"/>
    <x v="2"/>
    <s v="Notebook"/>
    <x v="7"/>
    <n v="2"/>
    <n v="6729.69"/>
    <n v="0"/>
    <x v="0"/>
    <x v="2"/>
    <x v="1"/>
    <n v="13459.38"/>
    <x v="2"/>
    <s v="medium"/>
  </r>
  <r>
    <x v="640"/>
    <d v="2024-12-07T00:00:00"/>
    <x v="1"/>
    <s v="Sneakers"/>
    <x v="4"/>
    <n v="5"/>
    <n v="4022.24"/>
    <n v="0.1"/>
    <x v="0"/>
    <x v="4"/>
    <x v="1"/>
    <n v="18100.080000000002"/>
    <x v="4"/>
    <s v="medium"/>
  </r>
  <r>
    <x v="641"/>
    <d v="2024-11-27T00:00:00"/>
    <x v="3"/>
    <s v="Earbuds"/>
    <x v="6"/>
    <n v="2"/>
    <n v="4506.05"/>
    <n v="0.15"/>
    <x v="0"/>
    <x v="1"/>
    <x v="1"/>
    <n v="7660.28"/>
    <x v="0"/>
    <s v="low"/>
  </r>
  <r>
    <x v="642"/>
    <d v="2024-04-09T00:00:00"/>
    <x v="1"/>
    <s v="Handbag"/>
    <x v="1"/>
    <n v="1"/>
    <n v="1972.45"/>
    <n v="0.05"/>
    <x v="0"/>
    <x v="4"/>
    <x v="1"/>
    <n v="1873.83"/>
    <x v="8"/>
    <s v="low"/>
  </r>
  <r>
    <x v="643"/>
    <d v="2024-08-03T00:00:00"/>
    <x v="0"/>
    <s v="Table Lamp"/>
    <x v="2"/>
    <n v="6"/>
    <n v="4117.29"/>
    <n v="0"/>
    <x v="3"/>
    <x v="1"/>
    <x v="1"/>
    <n v="24703.74"/>
    <x v="2"/>
    <s v="high"/>
  </r>
  <r>
    <x v="644"/>
    <d v="2024-10-03T00:00:00"/>
    <x v="2"/>
    <s v="Novel"/>
    <x v="6"/>
    <n v="1"/>
    <n v="1203.5899999999999"/>
    <n v="0.05"/>
    <x v="2"/>
    <x v="4"/>
    <x v="0"/>
    <n v="1143.4100000000001"/>
    <x v="5"/>
    <s v="low"/>
  </r>
  <r>
    <x v="645"/>
    <d v="2024-01-07T00:00:00"/>
    <x v="2"/>
    <s v="Guide Book"/>
    <x v="4"/>
    <n v="4"/>
    <n v="7670.61"/>
    <n v="0.25"/>
    <x v="0"/>
    <x v="3"/>
    <x v="1"/>
    <n v="23011.83"/>
    <x v="1"/>
    <s v="high"/>
  </r>
  <r>
    <x v="646"/>
    <d v="2024-03-29T00:00:00"/>
    <x v="1"/>
    <s v="T-Shirt"/>
    <x v="3"/>
    <n v="4"/>
    <n v="5565.23"/>
    <n v="0"/>
    <x v="1"/>
    <x v="2"/>
    <x v="1"/>
    <n v="22260.92"/>
    <x v="7"/>
    <s v="high"/>
  </r>
  <r>
    <x v="647"/>
    <d v="2024-03-01T00:00:00"/>
    <x v="0"/>
    <s v="Table Lamp"/>
    <x v="2"/>
    <n v="2"/>
    <n v="2804.88"/>
    <n v="0"/>
    <x v="1"/>
    <x v="2"/>
    <x v="1"/>
    <n v="5609.76"/>
    <x v="7"/>
    <s v="low"/>
  </r>
  <r>
    <x v="648"/>
    <d v="2024-01-17T00:00:00"/>
    <x v="2"/>
    <s v="Diary"/>
    <x v="6"/>
    <n v="1"/>
    <n v="2039.73"/>
    <n v="0"/>
    <x v="2"/>
    <x v="1"/>
    <x v="1"/>
    <n v="2039.73"/>
    <x v="1"/>
    <s v="low"/>
  </r>
  <r>
    <x v="649"/>
    <d v="2024-10-10T00:00:00"/>
    <x v="4"/>
    <s v="Sunscreen"/>
    <x v="2"/>
    <n v="3"/>
    <n v="7596.33"/>
    <n v="0"/>
    <x v="2"/>
    <x v="0"/>
    <x v="0"/>
    <n v="22788.99"/>
    <x v="5"/>
    <s v="high"/>
  </r>
  <r>
    <x v="650"/>
    <d v="2024-07-09T00:00:00"/>
    <x v="2"/>
    <s v="Guide Book"/>
    <x v="7"/>
    <n v="1"/>
    <n v="4940.93"/>
    <n v="0.05"/>
    <x v="0"/>
    <x v="1"/>
    <x v="1"/>
    <n v="4693.88"/>
    <x v="6"/>
    <s v="low"/>
  </r>
  <r>
    <x v="651"/>
    <d v="2024-08-17T00:00:00"/>
    <x v="0"/>
    <s v="Curtain"/>
    <x v="6"/>
    <n v="4"/>
    <n v="2521.9499999999998"/>
    <n v="0.25"/>
    <x v="3"/>
    <x v="0"/>
    <x v="1"/>
    <n v="7565.85"/>
    <x v="2"/>
    <s v="low"/>
  </r>
  <r>
    <x v="652"/>
    <d v="2024-06-27T00:00:00"/>
    <x v="4"/>
    <s v="Face Wash"/>
    <x v="6"/>
    <n v="3"/>
    <n v="6328.22"/>
    <n v="0.1"/>
    <x v="0"/>
    <x v="3"/>
    <x v="1"/>
    <n v="17086.189999999999"/>
    <x v="11"/>
    <s v="medium"/>
  </r>
  <r>
    <x v="653"/>
    <d v="2024-03-30T00:00:00"/>
    <x v="3"/>
    <s v="Smartwatch"/>
    <x v="7"/>
    <n v="6"/>
    <n v="2555.08"/>
    <n v="0.25"/>
    <x v="2"/>
    <x v="4"/>
    <x v="0"/>
    <n v="11497.86"/>
    <x v="7"/>
    <s v="medium"/>
  </r>
  <r>
    <x v="654"/>
    <d v="2024-10-08T00:00:00"/>
    <x v="2"/>
    <s v="Guide Book"/>
    <x v="1"/>
    <n v="6"/>
    <n v="7148.47"/>
    <n v="0.05"/>
    <x v="2"/>
    <x v="1"/>
    <x v="0"/>
    <n v="40746.28"/>
    <x v="5"/>
    <s v="high"/>
  </r>
  <r>
    <x v="655"/>
    <d v="2024-05-24T00:00:00"/>
    <x v="2"/>
    <s v="Guide Book"/>
    <x v="2"/>
    <n v="4"/>
    <n v="6150.84"/>
    <n v="0"/>
    <x v="2"/>
    <x v="4"/>
    <x v="1"/>
    <n v="24603.360000000001"/>
    <x v="9"/>
    <s v="high"/>
  </r>
  <r>
    <x v="656"/>
    <d v="2024-01-06T00:00:00"/>
    <x v="1"/>
    <s v="Sneakers"/>
    <x v="4"/>
    <n v="3"/>
    <n v="5874.36"/>
    <n v="0.15"/>
    <x v="2"/>
    <x v="3"/>
    <x v="1"/>
    <n v="14979.62"/>
    <x v="1"/>
    <s v="medium"/>
  </r>
  <r>
    <x v="657"/>
    <d v="2024-12-22T00:00:00"/>
    <x v="1"/>
    <s v="Jeans"/>
    <x v="2"/>
    <n v="1"/>
    <n v="1819.12"/>
    <n v="0.15"/>
    <x v="0"/>
    <x v="4"/>
    <x v="0"/>
    <n v="1546.25"/>
    <x v="4"/>
    <s v="low"/>
  </r>
  <r>
    <x v="658"/>
    <d v="2024-04-30T00:00:00"/>
    <x v="1"/>
    <s v="Sneakers"/>
    <x v="5"/>
    <n v="5"/>
    <n v="5379.35"/>
    <n v="0.05"/>
    <x v="0"/>
    <x v="3"/>
    <x v="1"/>
    <n v="25551.91"/>
    <x v="8"/>
    <s v="high"/>
  </r>
  <r>
    <x v="659"/>
    <d v="2024-02-14T00:00:00"/>
    <x v="3"/>
    <s v="Smartwatch"/>
    <x v="7"/>
    <n v="3"/>
    <n v="6800.2"/>
    <n v="0.15"/>
    <x v="1"/>
    <x v="4"/>
    <x v="1"/>
    <n v="17340.509999999998"/>
    <x v="10"/>
    <s v="medium"/>
  </r>
  <r>
    <x v="660"/>
    <d v="2024-01-09T00:00:00"/>
    <x v="1"/>
    <s v="Kurti"/>
    <x v="1"/>
    <n v="2"/>
    <n v="5109.8"/>
    <n v="0.1"/>
    <x v="1"/>
    <x v="3"/>
    <x v="1"/>
    <n v="9197.64"/>
    <x v="1"/>
    <s v="low"/>
  </r>
  <r>
    <x v="661"/>
    <d v="2024-09-06T00:00:00"/>
    <x v="0"/>
    <s v="Curtain"/>
    <x v="1"/>
    <n v="2"/>
    <n v="1417.76"/>
    <n v="0.25"/>
    <x v="2"/>
    <x v="4"/>
    <x v="0"/>
    <n v="2126.64"/>
    <x v="3"/>
    <s v="low"/>
  </r>
  <r>
    <x v="662"/>
    <d v="2024-08-28T00:00:00"/>
    <x v="3"/>
    <s v="Phone Cover"/>
    <x v="3"/>
    <n v="6"/>
    <n v="6127.65"/>
    <n v="0.25"/>
    <x v="0"/>
    <x v="3"/>
    <x v="1"/>
    <n v="27574.42"/>
    <x v="2"/>
    <s v="high"/>
  </r>
  <r>
    <x v="663"/>
    <d v="2024-05-07T00:00:00"/>
    <x v="3"/>
    <s v="Earbuds"/>
    <x v="1"/>
    <n v="1"/>
    <n v="6444.59"/>
    <n v="0.1"/>
    <x v="3"/>
    <x v="2"/>
    <x v="1"/>
    <n v="5800.13"/>
    <x v="9"/>
    <s v="low"/>
  </r>
  <r>
    <x v="664"/>
    <d v="2024-09-22T00:00:00"/>
    <x v="2"/>
    <s v="Guide Book"/>
    <x v="3"/>
    <n v="5"/>
    <n v="4376.6000000000004"/>
    <n v="0.1"/>
    <x v="3"/>
    <x v="4"/>
    <x v="1"/>
    <n v="19694.7"/>
    <x v="3"/>
    <s v="medium"/>
  </r>
  <r>
    <x v="665"/>
    <d v="2024-05-31T00:00:00"/>
    <x v="2"/>
    <s v="Novel"/>
    <x v="3"/>
    <n v="4"/>
    <n v="1764.73"/>
    <n v="0.25"/>
    <x v="0"/>
    <x v="4"/>
    <x v="1"/>
    <n v="5294.19"/>
    <x v="9"/>
    <s v="low"/>
  </r>
  <r>
    <x v="666"/>
    <d v="2024-07-09T00:00:00"/>
    <x v="1"/>
    <s v="Jeans"/>
    <x v="0"/>
    <n v="5"/>
    <n v="3685.31"/>
    <n v="0.15"/>
    <x v="1"/>
    <x v="3"/>
    <x v="1"/>
    <n v="15662.57"/>
    <x v="6"/>
    <s v="medium"/>
  </r>
  <r>
    <x v="667"/>
    <d v="2024-09-26T00:00:00"/>
    <x v="2"/>
    <s v="Notebook"/>
    <x v="7"/>
    <n v="1"/>
    <n v="5851.44"/>
    <n v="0"/>
    <x v="0"/>
    <x v="2"/>
    <x v="1"/>
    <n v="5851.44"/>
    <x v="3"/>
    <s v="low"/>
  </r>
  <r>
    <x v="668"/>
    <d v="2024-02-17T00:00:00"/>
    <x v="2"/>
    <s v="Notebook"/>
    <x v="4"/>
    <n v="2"/>
    <n v="7337.74"/>
    <n v="0"/>
    <x v="0"/>
    <x v="1"/>
    <x v="1"/>
    <n v="14675.48"/>
    <x v="10"/>
    <s v="medium"/>
  </r>
  <r>
    <x v="669"/>
    <d v="2024-11-11T00:00:00"/>
    <x v="0"/>
    <s v="Curtain"/>
    <x v="2"/>
    <n v="5"/>
    <n v="3189.09"/>
    <n v="0.1"/>
    <x v="0"/>
    <x v="3"/>
    <x v="1"/>
    <n v="14350.91"/>
    <x v="0"/>
    <s v="medium"/>
  </r>
  <r>
    <x v="670"/>
    <d v="2024-05-27T00:00:00"/>
    <x v="2"/>
    <s v="Diary"/>
    <x v="5"/>
    <n v="5"/>
    <n v="3047.19"/>
    <n v="0.15"/>
    <x v="1"/>
    <x v="0"/>
    <x v="1"/>
    <n v="12950.56"/>
    <x v="9"/>
    <s v="medium"/>
  </r>
  <r>
    <x v="671"/>
    <d v="2024-05-24T00:00:00"/>
    <x v="4"/>
    <s v="Lipstick"/>
    <x v="3"/>
    <n v="3"/>
    <n v="2307.48"/>
    <n v="0.05"/>
    <x v="1"/>
    <x v="2"/>
    <x v="0"/>
    <n v="6576.32"/>
    <x v="9"/>
    <s v="low"/>
  </r>
  <r>
    <x v="672"/>
    <d v="2024-06-04T00:00:00"/>
    <x v="2"/>
    <s v="Comic"/>
    <x v="1"/>
    <n v="4"/>
    <n v="672.14"/>
    <n v="0.1"/>
    <x v="0"/>
    <x v="1"/>
    <x v="0"/>
    <n v="2419.6999999999998"/>
    <x v="11"/>
    <s v="low"/>
  </r>
  <r>
    <x v="673"/>
    <d v="2024-03-11T00:00:00"/>
    <x v="2"/>
    <s v="Comic"/>
    <x v="5"/>
    <n v="1"/>
    <n v="5636.74"/>
    <n v="0"/>
    <x v="2"/>
    <x v="0"/>
    <x v="0"/>
    <n v="5636.74"/>
    <x v="7"/>
    <s v="low"/>
  </r>
  <r>
    <x v="674"/>
    <d v="2024-07-05T00:00:00"/>
    <x v="4"/>
    <s v="Face Wash"/>
    <x v="5"/>
    <n v="2"/>
    <n v="1143.6300000000001"/>
    <n v="0"/>
    <x v="2"/>
    <x v="0"/>
    <x v="1"/>
    <n v="2287.2600000000002"/>
    <x v="6"/>
    <s v="low"/>
  </r>
  <r>
    <x v="675"/>
    <d v="2024-07-16T00:00:00"/>
    <x v="4"/>
    <s v="Hair Oil"/>
    <x v="6"/>
    <n v="6"/>
    <n v="5273.58"/>
    <n v="0.05"/>
    <x v="0"/>
    <x v="4"/>
    <x v="1"/>
    <n v="30059.41"/>
    <x v="6"/>
    <s v="high"/>
  </r>
  <r>
    <x v="676"/>
    <d v="2024-05-22T00:00:00"/>
    <x v="2"/>
    <s v="Diary"/>
    <x v="1"/>
    <n v="2"/>
    <n v="4202.76"/>
    <n v="0.1"/>
    <x v="3"/>
    <x v="1"/>
    <x v="0"/>
    <n v="7564.97"/>
    <x v="9"/>
    <s v="low"/>
  </r>
  <r>
    <x v="677"/>
    <d v="2024-01-04T00:00:00"/>
    <x v="4"/>
    <s v="Sunscreen"/>
    <x v="3"/>
    <n v="5"/>
    <n v="216.55"/>
    <n v="0"/>
    <x v="1"/>
    <x v="1"/>
    <x v="1"/>
    <n v="1082.75"/>
    <x v="1"/>
    <s v="low"/>
  </r>
  <r>
    <x v="678"/>
    <d v="2024-06-08T00:00:00"/>
    <x v="0"/>
    <s v="Table Lamp"/>
    <x v="6"/>
    <n v="3"/>
    <n v="4351.16"/>
    <n v="0.15"/>
    <x v="0"/>
    <x v="3"/>
    <x v="1"/>
    <n v="11095.46"/>
    <x v="11"/>
    <s v="medium"/>
  </r>
  <r>
    <x v="679"/>
    <d v="2024-08-12T00:00:00"/>
    <x v="1"/>
    <s v="Sneakers"/>
    <x v="0"/>
    <n v="3"/>
    <n v="2993.34"/>
    <n v="0.2"/>
    <x v="3"/>
    <x v="3"/>
    <x v="0"/>
    <n v="7184.02"/>
    <x v="2"/>
    <s v="low"/>
  </r>
  <r>
    <x v="680"/>
    <d v="2024-03-31T00:00:00"/>
    <x v="1"/>
    <s v="Jeans"/>
    <x v="7"/>
    <n v="6"/>
    <n v="3887.97"/>
    <n v="0.05"/>
    <x v="1"/>
    <x v="2"/>
    <x v="1"/>
    <n v="22161.43"/>
    <x v="7"/>
    <s v="high"/>
  </r>
  <r>
    <x v="681"/>
    <d v="2024-05-15T00:00:00"/>
    <x v="3"/>
    <s v="Power Bank"/>
    <x v="1"/>
    <n v="2"/>
    <n v="5616.65"/>
    <n v="0.05"/>
    <x v="0"/>
    <x v="2"/>
    <x v="1"/>
    <n v="10671.63"/>
    <x v="9"/>
    <s v="medium"/>
  </r>
  <r>
    <x v="682"/>
    <d v="2024-04-26T00:00:00"/>
    <x v="1"/>
    <s v="Handbag"/>
    <x v="5"/>
    <n v="6"/>
    <n v="6327.5"/>
    <n v="0.05"/>
    <x v="0"/>
    <x v="1"/>
    <x v="1"/>
    <n v="36066.75"/>
    <x v="8"/>
    <s v="high"/>
  </r>
  <r>
    <x v="683"/>
    <d v="2024-05-26T00:00:00"/>
    <x v="1"/>
    <s v="T-Shirt"/>
    <x v="5"/>
    <n v="2"/>
    <n v="7771.28"/>
    <n v="0.05"/>
    <x v="1"/>
    <x v="3"/>
    <x v="1"/>
    <n v="14765.43"/>
    <x v="9"/>
    <s v="medium"/>
  </r>
  <r>
    <x v="684"/>
    <d v="2024-02-20T00:00:00"/>
    <x v="0"/>
    <s v="Bedsheet"/>
    <x v="2"/>
    <n v="5"/>
    <n v="5827.23"/>
    <n v="0.1"/>
    <x v="3"/>
    <x v="1"/>
    <x v="1"/>
    <n v="26222.53"/>
    <x v="10"/>
    <s v="high"/>
  </r>
  <r>
    <x v="685"/>
    <d v="2024-05-11T00:00:00"/>
    <x v="3"/>
    <s v="Phone Cover"/>
    <x v="3"/>
    <n v="2"/>
    <n v="6152.18"/>
    <n v="0"/>
    <x v="0"/>
    <x v="1"/>
    <x v="1"/>
    <n v="12304.36"/>
    <x v="9"/>
    <s v="medium"/>
  </r>
  <r>
    <x v="686"/>
    <d v="2024-11-28T00:00:00"/>
    <x v="2"/>
    <s v="Notebook"/>
    <x v="0"/>
    <n v="6"/>
    <n v="4198.07"/>
    <n v="0.25"/>
    <x v="0"/>
    <x v="3"/>
    <x v="1"/>
    <n v="18891.310000000001"/>
    <x v="0"/>
    <s v="medium"/>
  </r>
  <r>
    <x v="687"/>
    <d v="2024-04-24T00:00:00"/>
    <x v="0"/>
    <s v="Wall Clock"/>
    <x v="3"/>
    <n v="5"/>
    <n v="1135.1300000000001"/>
    <n v="0.1"/>
    <x v="1"/>
    <x v="4"/>
    <x v="1"/>
    <n v="5108.09"/>
    <x v="8"/>
    <s v="low"/>
  </r>
  <r>
    <x v="688"/>
    <d v="2024-01-16T00:00:00"/>
    <x v="3"/>
    <s v="Smartwatch"/>
    <x v="5"/>
    <n v="5"/>
    <n v="1584.69"/>
    <n v="0.1"/>
    <x v="1"/>
    <x v="1"/>
    <x v="1"/>
    <n v="7131.11"/>
    <x v="1"/>
    <s v="low"/>
  </r>
  <r>
    <x v="689"/>
    <d v="2024-12-27T00:00:00"/>
    <x v="1"/>
    <s v="T-Shirt"/>
    <x v="1"/>
    <n v="6"/>
    <n v="6196.36"/>
    <n v="0.1"/>
    <x v="3"/>
    <x v="2"/>
    <x v="0"/>
    <n v="33460.339999999997"/>
    <x v="4"/>
    <s v="high"/>
  </r>
  <r>
    <x v="690"/>
    <d v="2024-05-24T00:00:00"/>
    <x v="3"/>
    <s v="Smartwatch"/>
    <x v="5"/>
    <n v="4"/>
    <n v="5825.06"/>
    <n v="0"/>
    <x v="0"/>
    <x v="4"/>
    <x v="1"/>
    <n v="23300.240000000002"/>
    <x v="9"/>
    <s v="high"/>
  </r>
  <r>
    <x v="691"/>
    <d v="2024-03-31T00:00:00"/>
    <x v="2"/>
    <s v="Notebook"/>
    <x v="4"/>
    <n v="2"/>
    <n v="7005.48"/>
    <n v="0.05"/>
    <x v="1"/>
    <x v="3"/>
    <x v="0"/>
    <n v="13310.41"/>
    <x v="7"/>
    <s v="medium"/>
  </r>
  <r>
    <x v="692"/>
    <d v="2024-02-29T00:00:00"/>
    <x v="4"/>
    <s v="Face Wash"/>
    <x v="2"/>
    <n v="2"/>
    <n v="7476.44"/>
    <n v="0.05"/>
    <x v="0"/>
    <x v="4"/>
    <x v="0"/>
    <n v="14205.24"/>
    <x v="10"/>
    <s v="medium"/>
  </r>
  <r>
    <x v="693"/>
    <d v="2024-01-21T00:00:00"/>
    <x v="1"/>
    <s v="Kurti"/>
    <x v="0"/>
    <n v="1"/>
    <n v="4696.42"/>
    <n v="0.15"/>
    <x v="0"/>
    <x v="3"/>
    <x v="1"/>
    <n v="3991.96"/>
    <x v="1"/>
    <s v="low"/>
  </r>
  <r>
    <x v="694"/>
    <d v="2024-05-09T00:00:00"/>
    <x v="3"/>
    <s v="Power Bank"/>
    <x v="7"/>
    <n v="6"/>
    <n v="343.63"/>
    <n v="0.25"/>
    <x v="0"/>
    <x v="0"/>
    <x v="0"/>
    <n v="1546.33"/>
    <x v="9"/>
    <s v="low"/>
  </r>
  <r>
    <x v="695"/>
    <d v="2024-07-23T00:00:00"/>
    <x v="4"/>
    <s v="Lipstick"/>
    <x v="5"/>
    <n v="5"/>
    <n v="4667.88"/>
    <n v="0.1"/>
    <x v="3"/>
    <x v="4"/>
    <x v="1"/>
    <n v="21005.46"/>
    <x v="6"/>
    <s v="high"/>
  </r>
  <r>
    <x v="696"/>
    <d v="2024-03-30T00:00:00"/>
    <x v="3"/>
    <s v="Phone Cover"/>
    <x v="6"/>
    <n v="3"/>
    <n v="2914.01"/>
    <n v="0"/>
    <x v="0"/>
    <x v="4"/>
    <x v="0"/>
    <n v="8742.0300000000007"/>
    <x v="7"/>
    <s v="low"/>
  </r>
  <r>
    <x v="697"/>
    <d v="2024-01-18T00:00:00"/>
    <x v="2"/>
    <s v="Guide Book"/>
    <x v="2"/>
    <n v="2"/>
    <n v="6279.65"/>
    <n v="0.15"/>
    <x v="0"/>
    <x v="0"/>
    <x v="1"/>
    <n v="10675.4"/>
    <x v="1"/>
    <s v="medium"/>
  </r>
  <r>
    <x v="698"/>
    <d v="2024-05-09T00:00:00"/>
    <x v="2"/>
    <s v="Comic"/>
    <x v="6"/>
    <n v="2"/>
    <n v="6584.93"/>
    <n v="0.25"/>
    <x v="3"/>
    <x v="1"/>
    <x v="1"/>
    <n v="9877.4"/>
    <x v="9"/>
    <s v="low"/>
  </r>
  <r>
    <x v="699"/>
    <d v="2024-10-15T00:00:00"/>
    <x v="0"/>
    <s v="Curtain"/>
    <x v="3"/>
    <n v="6"/>
    <n v="7199.09"/>
    <n v="0.25"/>
    <x v="3"/>
    <x v="3"/>
    <x v="1"/>
    <n v="32395.9"/>
    <x v="5"/>
    <s v="high"/>
  </r>
  <r>
    <x v="700"/>
    <d v="2024-10-04T00:00:00"/>
    <x v="0"/>
    <s v="Cushion"/>
    <x v="0"/>
    <n v="2"/>
    <n v="7861.73"/>
    <n v="0.15"/>
    <x v="3"/>
    <x v="1"/>
    <x v="1"/>
    <n v="13364.94"/>
    <x v="5"/>
    <s v="medium"/>
  </r>
  <r>
    <x v="701"/>
    <d v="2024-12-21T00:00:00"/>
    <x v="0"/>
    <s v="Table Lamp"/>
    <x v="7"/>
    <n v="1"/>
    <n v="4458.45"/>
    <n v="0.05"/>
    <x v="2"/>
    <x v="0"/>
    <x v="1"/>
    <n v="4235.53"/>
    <x v="4"/>
    <s v="low"/>
  </r>
  <r>
    <x v="702"/>
    <d v="2024-11-06T00:00:00"/>
    <x v="4"/>
    <s v="Perfume"/>
    <x v="2"/>
    <n v="3"/>
    <n v="1942.27"/>
    <n v="0.1"/>
    <x v="0"/>
    <x v="4"/>
    <x v="0"/>
    <n v="5244.13"/>
    <x v="0"/>
    <s v="low"/>
  </r>
  <r>
    <x v="703"/>
    <d v="2024-01-06T00:00:00"/>
    <x v="4"/>
    <s v="Hair Oil"/>
    <x v="7"/>
    <n v="6"/>
    <n v="2911.32"/>
    <n v="0.25"/>
    <x v="0"/>
    <x v="1"/>
    <x v="1"/>
    <n v="13100.94"/>
    <x v="1"/>
    <s v="medium"/>
  </r>
  <r>
    <x v="704"/>
    <d v="2024-03-01T00:00:00"/>
    <x v="4"/>
    <s v="Perfume"/>
    <x v="3"/>
    <n v="4"/>
    <n v="1914.53"/>
    <n v="0"/>
    <x v="1"/>
    <x v="0"/>
    <x v="1"/>
    <n v="7658.12"/>
    <x v="7"/>
    <s v="low"/>
  </r>
  <r>
    <x v="705"/>
    <d v="2024-09-22T00:00:00"/>
    <x v="3"/>
    <s v="Earbuds"/>
    <x v="7"/>
    <n v="5"/>
    <n v="1467.25"/>
    <n v="0"/>
    <x v="3"/>
    <x v="2"/>
    <x v="1"/>
    <n v="7336.25"/>
    <x v="3"/>
    <s v="low"/>
  </r>
  <r>
    <x v="706"/>
    <d v="2024-01-10T00:00:00"/>
    <x v="0"/>
    <s v="Curtain"/>
    <x v="7"/>
    <n v="2"/>
    <n v="840.11"/>
    <n v="0.15"/>
    <x v="0"/>
    <x v="3"/>
    <x v="1"/>
    <n v="1428.19"/>
    <x v="1"/>
    <s v="low"/>
  </r>
  <r>
    <x v="707"/>
    <d v="2024-03-03T00:00:00"/>
    <x v="4"/>
    <s v="Lipstick"/>
    <x v="4"/>
    <n v="4"/>
    <n v="2058.29"/>
    <n v="0.05"/>
    <x v="0"/>
    <x v="0"/>
    <x v="0"/>
    <n v="7821.5"/>
    <x v="7"/>
    <s v="low"/>
  </r>
  <r>
    <x v="708"/>
    <d v="2024-12-22T00:00:00"/>
    <x v="1"/>
    <s v="Sneakers"/>
    <x v="6"/>
    <n v="3"/>
    <n v="7823.48"/>
    <n v="0.1"/>
    <x v="1"/>
    <x v="3"/>
    <x v="1"/>
    <n v="21123.4"/>
    <x v="4"/>
    <s v="high"/>
  </r>
  <r>
    <x v="709"/>
    <d v="2024-02-24T00:00:00"/>
    <x v="3"/>
    <s v="Earbuds"/>
    <x v="3"/>
    <n v="2"/>
    <n v="5000.22"/>
    <n v="0.05"/>
    <x v="3"/>
    <x v="4"/>
    <x v="1"/>
    <n v="9500.42"/>
    <x v="10"/>
    <s v="low"/>
  </r>
  <r>
    <x v="710"/>
    <d v="2024-05-20T00:00:00"/>
    <x v="0"/>
    <s v="Cushion"/>
    <x v="5"/>
    <n v="3"/>
    <n v="650.02"/>
    <n v="0"/>
    <x v="1"/>
    <x v="2"/>
    <x v="1"/>
    <n v="1950.06"/>
    <x v="9"/>
    <s v="low"/>
  </r>
  <r>
    <x v="711"/>
    <d v="2024-08-19T00:00:00"/>
    <x v="1"/>
    <s v="T-Shirt"/>
    <x v="1"/>
    <n v="4"/>
    <n v="1128.9000000000001"/>
    <n v="0"/>
    <x v="0"/>
    <x v="4"/>
    <x v="1"/>
    <n v="4515.6000000000004"/>
    <x v="2"/>
    <s v="low"/>
  </r>
  <r>
    <x v="712"/>
    <d v="2024-04-27T00:00:00"/>
    <x v="0"/>
    <s v="Table Lamp"/>
    <x v="0"/>
    <n v="3"/>
    <n v="2788.04"/>
    <n v="0"/>
    <x v="3"/>
    <x v="2"/>
    <x v="1"/>
    <n v="8364.119999999999"/>
    <x v="8"/>
    <s v="low"/>
  </r>
  <r>
    <x v="713"/>
    <d v="2024-12-28T00:00:00"/>
    <x v="0"/>
    <s v="Table Lamp"/>
    <x v="5"/>
    <n v="3"/>
    <n v="5245.11"/>
    <n v="0.05"/>
    <x v="3"/>
    <x v="4"/>
    <x v="1"/>
    <n v="14948.56"/>
    <x v="4"/>
    <s v="medium"/>
  </r>
  <r>
    <x v="714"/>
    <d v="2024-02-22T00:00:00"/>
    <x v="2"/>
    <s v="Diary"/>
    <x v="1"/>
    <n v="1"/>
    <n v="6108.48"/>
    <n v="0"/>
    <x v="3"/>
    <x v="1"/>
    <x v="1"/>
    <n v="6108.48"/>
    <x v="10"/>
    <s v="low"/>
  </r>
  <r>
    <x v="715"/>
    <d v="2024-09-26T00:00:00"/>
    <x v="2"/>
    <s v="Notebook"/>
    <x v="6"/>
    <n v="4"/>
    <n v="178.17"/>
    <n v="0"/>
    <x v="3"/>
    <x v="4"/>
    <x v="1"/>
    <n v="712.68"/>
    <x v="3"/>
    <s v="low"/>
  </r>
  <r>
    <x v="716"/>
    <d v="2024-12-15T00:00:00"/>
    <x v="2"/>
    <s v="Notebook"/>
    <x v="4"/>
    <n v="4"/>
    <n v="1063.95"/>
    <n v="0"/>
    <x v="0"/>
    <x v="0"/>
    <x v="0"/>
    <n v="4255.8"/>
    <x v="4"/>
    <s v="low"/>
  </r>
  <r>
    <x v="717"/>
    <d v="2024-06-13T00:00:00"/>
    <x v="2"/>
    <s v="Notebook"/>
    <x v="2"/>
    <n v="5"/>
    <n v="5860.81"/>
    <n v="0"/>
    <x v="1"/>
    <x v="2"/>
    <x v="0"/>
    <n v="29304.05"/>
    <x v="11"/>
    <s v="high"/>
  </r>
  <r>
    <x v="718"/>
    <d v="2024-07-14T00:00:00"/>
    <x v="0"/>
    <s v="Wall Clock"/>
    <x v="3"/>
    <n v="3"/>
    <n v="6054.98"/>
    <n v="0.2"/>
    <x v="3"/>
    <x v="3"/>
    <x v="1"/>
    <n v="14531.95"/>
    <x v="6"/>
    <s v="medium"/>
  </r>
  <r>
    <x v="719"/>
    <d v="2024-07-16T00:00:00"/>
    <x v="4"/>
    <s v="Face Wash"/>
    <x v="1"/>
    <n v="6"/>
    <n v="4636.37"/>
    <n v="0"/>
    <x v="0"/>
    <x v="1"/>
    <x v="1"/>
    <n v="27818.22"/>
    <x v="6"/>
    <s v="high"/>
  </r>
  <r>
    <x v="720"/>
    <d v="2024-09-05T00:00:00"/>
    <x v="1"/>
    <s v="Kurti"/>
    <x v="6"/>
    <n v="2"/>
    <n v="2275.0700000000002"/>
    <n v="0.15"/>
    <x v="1"/>
    <x v="0"/>
    <x v="1"/>
    <n v="3867.62"/>
    <x v="3"/>
    <s v="low"/>
  </r>
  <r>
    <x v="721"/>
    <d v="2024-06-29T00:00:00"/>
    <x v="2"/>
    <s v="Comic"/>
    <x v="0"/>
    <n v="6"/>
    <n v="6822.74"/>
    <n v="0.1"/>
    <x v="3"/>
    <x v="0"/>
    <x v="1"/>
    <n v="36842.800000000003"/>
    <x v="11"/>
    <s v="high"/>
  </r>
  <r>
    <x v="722"/>
    <d v="2024-08-24T00:00:00"/>
    <x v="0"/>
    <s v="Bedsheet"/>
    <x v="6"/>
    <n v="6"/>
    <n v="1825.5"/>
    <n v="0.15"/>
    <x v="0"/>
    <x v="3"/>
    <x v="0"/>
    <n v="9310.0499999999993"/>
    <x v="2"/>
    <s v="low"/>
  </r>
  <r>
    <x v="723"/>
    <d v="2024-07-21T00:00:00"/>
    <x v="0"/>
    <s v="Curtain"/>
    <x v="4"/>
    <n v="2"/>
    <n v="3019.38"/>
    <n v="0.2"/>
    <x v="0"/>
    <x v="3"/>
    <x v="0"/>
    <n v="4831.01"/>
    <x v="6"/>
    <s v="low"/>
  </r>
  <r>
    <x v="724"/>
    <d v="2024-06-07T00:00:00"/>
    <x v="3"/>
    <s v="Earbuds"/>
    <x v="0"/>
    <n v="4"/>
    <n v="1200.6199999999999"/>
    <n v="0.2"/>
    <x v="0"/>
    <x v="0"/>
    <x v="1"/>
    <n v="3841.98"/>
    <x v="11"/>
    <s v="low"/>
  </r>
  <r>
    <x v="725"/>
    <d v="2024-01-11T00:00:00"/>
    <x v="4"/>
    <s v="Sunscreen"/>
    <x v="4"/>
    <n v="3"/>
    <n v="1250.02"/>
    <n v="0.05"/>
    <x v="0"/>
    <x v="4"/>
    <x v="1"/>
    <n v="3562.56"/>
    <x v="1"/>
    <s v="low"/>
  </r>
  <r>
    <x v="726"/>
    <d v="2024-06-13T00:00:00"/>
    <x v="3"/>
    <s v="Earbuds"/>
    <x v="1"/>
    <n v="3"/>
    <n v="172.47"/>
    <n v="0"/>
    <x v="1"/>
    <x v="0"/>
    <x v="1"/>
    <n v="517.41"/>
    <x v="11"/>
    <s v="low"/>
  </r>
  <r>
    <x v="727"/>
    <d v="2024-10-30T00:00:00"/>
    <x v="1"/>
    <s v="Kurti"/>
    <x v="0"/>
    <n v="4"/>
    <n v="3843.36"/>
    <n v="0.05"/>
    <x v="3"/>
    <x v="2"/>
    <x v="1"/>
    <n v="14604.77"/>
    <x v="5"/>
    <s v="medium"/>
  </r>
  <r>
    <x v="728"/>
    <d v="2024-04-02T00:00:00"/>
    <x v="1"/>
    <s v="Handbag"/>
    <x v="0"/>
    <n v="1"/>
    <n v="2838.01"/>
    <n v="0.1"/>
    <x v="0"/>
    <x v="2"/>
    <x v="0"/>
    <n v="2554.21"/>
    <x v="8"/>
    <s v="low"/>
  </r>
  <r>
    <x v="729"/>
    <d v="2024-09-06T00:00:00"/>
    <x v="0"/>
    <s v="Bedsheet"/>
    <x v="7"/>
    <n v="1"/>
    <n v="1370.65"/>
    <n v="0.25"/>
    <x v="2"/>
    <x v="0"/>
    <x v="1"/>
    <n v="1027.99"/>
    <x v="3"/>
    <s v="low"/>
  </r>
  <r>
    <x v="730"/>
    <d v="2024-12-14T00:00:00"/>
    <x v="2"/>
    <s v="Notebook"/>
    <x v="0"/>
    <n v="6"/>
    <n v="6631.43"/>
    <n v="0"/>
    <x v="1"/>
    <x v="0"/>
    <x v="0"/>
    <n v="39788.58"/>
    <x v="4"/>
    <s v="high"/>
  </r>
  <r>
    <x v="731"/>
    <d v="2024-10-19T00:00:00"/>
    <x v="2"/>
    <s v="Comic"/>
    <x v="5"/>
    <n v="2"/>
    <n v="7981.55"/>
    <n v="0.2"/>
    <x v="1"/>
    <x v="4"/>
    <x v="1"/>
    <n v="12770.48"/>
    <x v="5"/>
    <s v="medium"/>
  </r>
  <r>
    <x v="732"/>
    <d v="2024-08-24T00:00:00"/>
    <x v="1"/>
    <s v="Handbag"/>
    <x v="3"/>
    <n v="5"/>
    <n v="7801.76"/>
    <n v="0.25"/>
    <x v="3"/>
    <x v="1"/>
    <x v="1"/>
    <n v="29256.6"/>
    <x v="2"/>
    <s v="high"/>
  </r>
  <r>
    <x v="733"/>
    <d v="2024-06-02T00:00:00"/>
    <x v="3"/>
    <s v="Bluetooth Speaker"/>
    <x v="7"/>
    <n v="5"/>
    <n v="5471.5"/>
    <n v="0.15"/>
    <x v="3"/>
    <x v="2"/>
    <x v="0"/>
    <n v="23253.88"/>
    <x v="11"/>
    <s v="high"/>
  </r>
  <r>
    <x v="734"/>
    <d v="2024-12-05T00:00:00"/>
    <x v="2"/>
    <s v="Novel"/>
    <x v="6"/>
    <n v="4"/>
    <n v="3977.23"/>
    <n v="0.2"/>
    <x v="3"/>
    <x v="2"/>
    <x v="1"/>
    <n v="12727.14"/>
    <x v="4"/>
    <s v="medium"/>
  </r>
  <r>
    <x v="735"/>
    <d v="2024-04-14T00:00:00"/>
    <x v="0"/>
    <s v="Wall Clock"/>
    <x v="0"/>
    <n v="6"/>
    <n v="625.92999999999995"/>
    <n v="0"/>
    <x v="2"/>
    <x v="0"/>
    <x v="1"/>
    <n v="3755.58"/>
    <x v="8"/>
    <s v="low"/>
  </r>
  <r>
    <x v="736"/>
    <d v="2024-09-28T00:00:00"/>
    <x v="1"/>
    <s v="Jeans"/>
    <x v="5"/>
    <n v="6"/>
    <n v="4080.02"/>
    <n v="0.05"/>
    <x v="0"/>
    <x v="3"/>
    <x v="1"/>
    <n v="23256.11"/>
    <x v="3"/>
    <s v="high"/>
  </r>
  <r>
    <x v="737"/>
    <d v="2024-04-07T00:00:00"/>
    <x v="0"/>
    <s v="Curtain"/>
    <x v="7"/>
    <n v="6"/>
    <n v="5202.72"/>
    <n v="0.1"/>
    <x v="0"/>
    <x v="4"/>
    <x v="1"/>
    <n v="28094.69"/>
    <x v="8"/>
    <s v="high"/>
  </r>
  <r>
    <x v="738"/>
    <d v="2024-11-11T00:00:00"/>
    <x v="3"/>
    <s v="Phone Cover"/>
    <x v="0"/>
    <n v="5"/>
    <n v="3347.49"/>
    <n v="0.1"/>
    <x v="3"/>
    <x v="4"/>
    <x v="1"/>
    <n v="15063.7"/>
    <x v="0"/>
    <s v="medium"/>
  </r>
  <r>
    <x v="739"/>
    <d v="2024-04-09T00:00:00"/>
    <x v="4"/>
    <s v="Lipstick"/>
    <x v="1"/>
    <n v="3"/>
    <n v="987.39"/>
    <n v="0"/>
    <x v="0"/>
    <x v="2"/>
    <x v="0"/>
    <n v="2962.17"/>
    <x v="8"/>
    <s v="low"/>
  </r>
  <r>
    <x v="740"/>
    <d v="2024-06-30T00:00:00"/>
    <x v="0"/>
    <s v="Bedsheet"/>
    <x v="7"/>
    <n v="6"/>
    <n v="4349.5"/>
    <n v="0.1"/>
    <x v="0"/>
    <x v="2"/>
    <x v="1"/>
    <n v="23487.3"/>
    <x v="11"/>
    <s v="high"/>
  </r>
  <r>
    <x v="741"/>
    <d v="2024-12-19T00:00:00"/>
    <x v="3"/>
    <s v="Smartwatch"/>
    <x v="4"/>
    <n v="1"/>
    <n v="1409.39"/>
    <n v="0.2"/>
    <x v="1"/>
    <x v="0"/>
    <x v="1"/>
    <n v="1127.51"/>
    <x v="4"/>
    <s v="low"/>
  </r>
  <r>
    <x v="742"/>
    <d v="2024-07-22T00:00:00"/>
    <x v="2"/>
    <s v="Diary"/>
    <x v="3"/>
    <n v="3"/>
    <n v="7150.74"/>
    <n v="0.15"/>
    <x v="0"/>
    <x v="1"/>
    <x v="1"/>
    <n v="18234.39"/>
    <x v="6"/>
    <s v="medium"/>
  </r>
  <r>
    <x v="743"/>
    <d v="2024-10-23T00:00:00"/>
    <x v="1"/>
    <s v="Jeans"/>
    <x v="5"/>
    <n v="5"/>
    <n v="6220.22"/>
    <n v="0"/>
    <x v="2"/>
    <x v="1"/>
    <x v="1"/>
    <n v="31101.1"/>
    <x v="5"/>
    <s v="high"/>
  </r>
  <r>
    <x v="744"/>
    <d v="2024-06-17T00:00:00"/>
    <x v="1"/>
    <s v="Handbag"/>
    <x v="1"/>
    <n v="3"/>
    <n v="3242.23"/>
    <n v="0.25"/>
    <x v="1"/>
    <x v="0"/>
    <x v="1"/>
    <n v="7295.02"/>
    <x v="11"/>
    <s v="low"/>
  </r>
  <r>
    <x v="745"/>
    <d v="2024-10-23T00:00:00"/>
    <x v="0"/>
    <s v="Curtain"/>
    <x v="3"/>
    <n v="1"/>
    <n v="1631.08"/>
    <n v="0.2"/>
    <x v="1"/>
    <x v="3"/>
    <x v="1"/>
    <n v="1304.8599999999999"/>
    <x v="5"/>
    <s v="low"/>
  </r>
  <r>
    <x v="746"/>
    <d v="2024-10-10T00:00:00"/>
    <x v="4"/>
    <s v="Perfume"/>
    <x v="5"/>
    <n v="1"/>
    <n v="1072.6300000000001"/>
    <n v="0"/>
    <x v="1"/>
    <x v="3"/>
    <x v="1"/>
    <n v="1072.6300000000001"/>
    <x v="5"/>
    <s v="low"/>
  </r>
  <r>
    <x v="747"/>
    <d v="2024-08-18T00:00:00"/>
    <x v="1"/>
    <s v="Handbag"/>
    <x v="5"/>
    <n v="6"/>
    <n v="947.77"/>
    <n v="0.1"/>
    <x v="3"/>
    <x v="1"/>
    <x v="1"/>
    <n v="5117.9579999999996"/>
    <x v="2"/>
    <s v="low"/>
  </r>
  <r>
    <x v="748"/>
    <d v="2024-10-11T00:00:00"/>
    <x v="1"/>
    <s v="T-Shirt"/>
    <x v="5"/>
    <n v="5"/>
    <n v="5961.89"/>
    <n v="0.1"/>
    <x v="2"/>
    <x v="0"/>
    <x v="1"/>
    <n v="26828.51"/>
    <x v="5"/>
    <s v="high"/>
  </r>
  <r>
    <x v="749"/>
    <d v="2024-03-30T00:00:00"/>
    <x v="3"/>
    <s v="Earbuds"/>
    <x v="4"/>
    <n v="5"/>
    <n v="2627.39"/>
    <n v="0.15"/>
    <x v="3"/>
    <x v="3"/>
    <x v="0"/>
    <n v="11166.41"/>
    <x v="7"/>
    <s v="medium"/>
  </r>
  <r>
    <x v="750"/>
    <d v="2024-08-25T00:00:00"/>
    <x v="1"/>
    <s v="Sneakers"/>
    <x v="4"/>
    <n v="2"/>
    <n v="1055.25"/>
    <n v="0.15"/>
    <x v="2"/>
    <x v="0"/>
    <x v="1"/>
    <n v="1793.92"/>
    <x v="2"/>
    <s v="low"/>
  </r>
  <r>
    <x v="751"/>
    <d v="2024-06-18T00:00:00"/>
    <x v="2"/>
    <s v="Diary"/>
    <x v="5"/>
    <n v="4"/>
    <n v="410.3"/>
    <n v="0.25"/>
    <x v="0"/>
    <x v="1"/>
    <x v="1"/>
    <n v="1230.9000000000001"/>
    <x v="11"/>
    <s v="low"/>
  </r>
  <r>
    <x v="752"/>
    <d v="2024-12-02T00:00:00"/>
    <x v="0"/>
    <s v="Wall Clock"/>
    <x v="7"/>
    <n v="2"/>
    <n v="5574.14"/>
    <n v="0.2"/>
    <x v="2"/>
    <x v="0"/>
    <x v="1"/>
    <n v="8918.6200000000008"/>
    <x v="4"/>
    <s v="low"/>
  </r>
  <r>
    <x v="753"/>
    <d v="2024-02-08T00:00:00"/>
    <x v="2"/>
    <s v="Novel"/>
    <x v="1"/>
    <n v="6"/>
    <n v="6336.35"/>
    <n v="0"/>
    <x v="0"/>
    <x v="2"/>
    <x v="0"/>
    <n v="38018.1"/>
    <x v="10"/>
    <s v="high"/>
  </r>
  <r>
    <x v="754"/>
    <d v="2024-08-17T00:00:00"/>
    <x v="4"/>
    <s v="Sunscreen"/>
    <x v="5"/>
    <n v="6"/>
    <n v="7295.04"/>
    <n v="0.2"/>
    <x v="0"/>
    <x v="3"/>
    <x v="1"/>
    <n v="35016.19"/>
    <x v="2"/>
    <s v="high"/>
  </r>
  <r>
    <x v="755"/>
    <d v="2024-08-07T00:00:00"/>
    <x v="4"/>
    <s v="Hair Oil"/>
    <x v="6"/>
    <n v="1"/>
    <n v="1583.41"/>
    <n v="0.2"/>
    <x v="2"/>
    <x v="2"/>
    <x v="0"/>
    <n v="1266.73"/>
    <x v="2"/>
    <s v="low"/>
  </r>
  <r>
    <x v="756"/>
    <d v="2024-09-27T00:00:00"/>
    <x v="1"/>
    <s v="Jeans"/>
    <x v="4"/>
    <n v="6"/>
    <n v="5381.42"/>
    <n v="0"/>
    <x v="0"/>
    <x v="2"/>
    <x v="1"/>
    <n v="32288.52"/>
    <x v="3"/>
    <s v="high"/>
  </r>
  <r>
    <x v="757"/>
    <d v="2024-01-28T00:00:00"/>
    <x v="4"/>
    <s v="Sunscreen"/>
    <x v="3"/>
    <n v="3"/>
    <n v="6417.96"/>
    <n v="0.25"/>
    <x v="2"/>
    <x v="3"/>
    <x v="1"/>
    <n v="14440.41"/>
    <x v="1"/>
    <s v="medium"/>
  </r>
  <r>
    <x v="758"/>
    <d v="2024-03-18T00:00:00"/>
    <x v="3"/>
    <s v="Bluetooth Speaker"/>
    <x v="5"/>
    <n v="6"/>
    <n v="7765.69"/>
    <n v="0.05"/>
    <x v="3"/>
    <x v="4"/>
    <x v="0"/>
    <n v="44264.43"/>
    <x v="7"/>
    <s v="high"/>
  </r>
  <r>
    <x v="759"/>
    <d v="2024-02-29T00:00:00"/>
    <x v="2"/>
    <s v="Novel"/>
    <x v="2"/>
    <n v="6"/>
    <n v="5322.74"/>
    <n v="0.1"/>
    <x v="3"/>
    <x v="2"/>
    <x v="1"/>
    <n v="28742.799999999999"/>
    <x v="10"/>
    <s v="high"/>
  </r>
  <r>
    <x v="760"/>
    <d v="2024-09-16T00:00:00"/>
    <x v="2"/>
    <s v="Guide Book"/>
    <x v="5"/>
    <n v="3"/>
    <n v="3361.01"/>
    <n v="0.05"/>
    <x v="0"/>
    <x v="4"/>
    <x v="0"/>
    <n v="9578.8799999999992"/>
    <x v="3"/>
    <s v="low"/>
  </r>
  <r>
    <x v="761"/>
    <d v="2024-08-11T00:00:00"/>
    <x v="0"/>
    <s v="Bedsheet"/>
    <x v="6"/>
    <n v="6"/>
    <n v="991.28"/>
    <n v="0.1"/>
    <x v="0"/>
    <x v="4"/>
    <x v="1"/>
    <n v="5352.91"/>
    <x v="2"/>
    <s v="low"/>
  </r>
  <r>
    <x v="762"/>
    <d v="2024-06-20T00:00:00"/>
    <x v="4"/>
    <s v="Sunscreen"/>
    <x v="6"/>
    <n v="4"/>
    <n v="7051.6"/>
    <n v="0"/>
    <x v="2"/>
    <x v="3"/>
    <x v="1"/>
    <n v="28206.400000000001"/>
    <x v="11"/>
    <s v="high"/>
  </r>
  <r>
    <x v="763"/>
    <d v="2024-09-09T00:00:00"/>
    <x v="0"/>
    <s v="Table Lamp"/>
    <x v="3"/>
    <n v="1"/>
    <n v="3469.33"/>
    <n v="0.2"/>
    <x v="0"/>
    <x v="4"/>
    <x v="1"/>
    <n v="2775.46"/>
    <x v="3"/>
    <s v="low"/>
  </r>
  <r>
    <x v="764"/>
    <d v="2024-10-29T00:00:00"/>
    <x v="0"/>
    <s v="Curtain"/>
    <x v="2"/>
    <n v="2"/>
    <n v="5654.71"/>
    <n v="0.25"/>
    <x v="0"/>
    <x v="2"/>
    <x v="1"/>
    <n v="8482.07"/>
    <x v="5"/>
    <s v="low"/>
  </r>
  <r>
    <x v="765"/>
    <d v="2024-03-01T00:00:00"/>
    <x v="1"/>
    <s v="Handbag"/>
    <x v="1"/>
    <n v="1"/>
    <n v="2784.11"/>
    <n v="0.15"/>
    <x v="3"/>
    <x v="0"/>
    <x v="1"/>
    <n v="2366.4899999999998"/>
    <x v="7"/>
    <s v="low"/>
  </r>
  <r>
    <x v="766"/>
    <d v="2024-11-11T00:00:00"/>
    <x v="1"/>
    <s v="Kurti"/>
    <x v="7"/>
    <n v="6"/>
    <n v="348.78"/>
    <n v="0.25"/>
    <x v="0"/>
    <x v="2"/>
    <x v="1"/>
    <n v="1569.51"/>
    <x v="0"/>
    <s v="low"/>
  </r>
  <r>
    <x v="767"/>
    <d v="2024-03-18T00:00:00"/>
    <x v="2"/>
    <s v="Guide Book"/>
    <x v="0"/>
    <n v="6"/>
    <n v="5501.13"/>
    <n v="0.05"/>
    <x v="1"/>
    <x v="2"/>
    <x v="1"/>
    <n v="31356.44"/>
    <x v="7"/>
    <s v="high"/>
  </r>
  <r>
    <x v="768"/>
    <d v="2024-05-12T00:00:00"/>
    <x v="2"/>
    <s v="Novel"/>
    <x v="7"/>
    <n v="4"/>
    <n v="2738.44"/>
    <n v="0.1"/>
    <x v="3"/>
    <x v="1"/>
    <x v="1"/>
    <n v="9858.3799999999992"/>
    <x v="9"/>
    <s v="low"/>
  </r>
  <r>
    <x v="769"/>
    <d v="2024-10-18T00:00:00"/>
    <x v="0"/>
    <s v="Bedsheet"/>
    <x v="2"/>
    <n v="5"/>
    <n v="3963.19"/>
    <n v="0"/>
    <x v="3"/>
    <x v="1"/>
    <x v="0"/>
    <n v="19815.95"/>
    <x v="5"/>
    <s v="medium"/>
  </r>
  <r>
    <x v="770"/>
    <d v="2024-06-25T00:00:00"/>
    <x v="2"/>
    <s v="Notebook"/>
    <x v="0"/>
    <n v="6"/>
    <n v="3952.36"/>
    <n v="0"/>
    <x v="2"/>
    <x v="2"/>
    <x v="1"/>
    <n v="23714.16"/>
    <x v="11"/>
    <s v="high"/>
  </r>
  <r>
    <x v="771"/>
    <d v="2024-02-20T00:00:00"/>
    <x v="2"/>
    <s v="Diary"/>
    <x v="1"/>
    <n v="3"/>
    <n v="7145.66"/>
    <n v="0"/>
    <x v="2"/>
    <x v="0"/>
    <x v="1"/>
    <n v="21436.98"/>
    <x v="10"/>
    <s v="high"/>
  </r>
  <r>
    <x v="772"/>
    <d v="2024-01-10T00:00:00"/>
    <x v="3"/>
    <s v="Phone Cover"/>
    <x v="5"/>
    <n v="3"/>
    <n v="7538.77"/>
    <n v="0.1"/>
    <x v="0"/>
    <x v="0"/>
    <x v="1"/>
    <n v="20354.679"/>
    <x v="1"/>
    <s v="high"/>
  </r>
  <r>
    <x v="773"/>
    <d v="2024-01-06T00:00:00"/>
    <x v="2"/>
    <s v="Novel"/>
    <x v="4"/>
    <n v="5"/>
    <n v="2405.61"/>
    <n v="0.1"/>
    <x v="3"/>
    <x v="2"/>
    <x v="1"/>
    <n v="10825.25"/>
    <x v="1"/>
    <s v="medium"/>
  </r>
  <r>
    <x v="774"/>
    <d v="2024-05-14T00:00:00"/>
    <x v="2"/>
    <s v="Notebook"/>
    <x v="0"/>
    <n v="6"/>
    <n v="5706.52"/>
    <n v="0.05"/>
    <x v="0"/>
    <x v="0"/>
    <x v="0"/>
    <n v="32527.16"/>
    <x v="9"/>
    <s v="high"/>
  </r>
  <r>
    <x v="775"/>
    <d v="2024-12-26T00:00:00"/>
    <x v="0"/>
    <s v="Bedsheet"/>
    <x v="4"/>
    <n v="2"/>
    <n v="664.28"/>
    <n v="0.1"/>
    <x v="0"/>
    <x v="1"/>
    <x v="1"/>
    <n v="1195.7"/>
    <x v="4"/>
    <s v="low"/>
  </r>
  <r>
    <x v="776"/>
    <d v="2024-02-07T00:00:00"/>
    <x v="3"/>
    <s v="Smartwatch"/>
    <x v="6"/>
    <n v="5"/>
    <n v="5311.18"/>
    <n v="0.15"/>
    <x v="3"/>
    <x v="2"/>
    <x v="1"/>
    <n v="22572.51"/>
    <x v="10"/>
    <s v="high"/>
  </r>
  <r>
    <x v="777"/>
    <d v="2024-09-16T00:00:00"/>
    <x v="4"/>
    <s v="Perfume"/>
    <x v="3"/>
    <n v="4"/>
    <n v="1009.69"/>
    <n v="0.15"/>
    <x v="3"/>
    <x v="0"/>
    <x v="1"/>
    <n v="3432.95"/>
    <x v="3"/>
    <s v="low"/>
  </r>
  <r>
    <x v="778"/>
    <d v="2024-06-24T00:00:00"/>
    <x v="4"/>
    <s v="Hair Oil"/>
    <x v="5"/>
    <n v="2"/>
    <n v="2162.62"/>
    <n v="0.25"/>
    <x v="3"/>
    <x v="0"/>
    <x v="1"/>
    <n v="3243.93"/>
    <x v="11"/>
    <s v="low"/>
  </r>
  <r>
    <x v="779"/>
    <d v="2024-06-05T00:00:00"/>
    <x v="0"/>
    <s v="Curtain"/>
    <x v="2"/>
    <n v="4"/>
    <n v="4605.28"/>
    <n v="0.25"/>
    <x v="0"/>
    <x v="4"/>
    <x v="1"/>
    <n v="13815.84"/>
    <x v="11"/>
    <s v="medium"/>
  </r>
  <r>
    <x v="780"/>
    <d v="2024-03-28T00:00:00"/>
    <x v="4"/>
    <s v="Perfume"/>
    <x v="3"/>
    <n v="4"/>
    <n v="5387.3"/>
    <n v="0"/>
    <x v="0"/>
    <x v="2"/>
    <x v="1"/>
    <n v="21549.200000000001"/>
    <x v="7"/>
    <s v="high"/>
  </r>
  <r>
    <x v="781"/>
    <d v="2024-10-20T00:00:00"/>
    <x v="0"/>
    <s v="Bedsheet"/>
    <x v="5"/>
    <n v="1"/>
    <n v="5050.34"/>
    <n v="0.1"/>
    <x v="2"/>
    <x v="0"/>
    <x v="1"/>
    <n v="4545.3100000000004"/>
    <x v="5"/>
    <s v="low"/>
  </r>
  <r>
    <x v="782"/>
    <d v="2024-04-22T00:00:00"/>
    <x v="3"/>
    <s v="Power Bank"/>
    <x v="7"/>
    <n v="3"/>
    <n v="3559.11"/>
    <n v="0.2"/>
    <x v="1"/>
    <x v="3"/>
    <x v="1"/>
    <n v="8541.86"/>
    <x v="8"/>
    <s v="low"/>
  </r>
  <r>
    <x v="783"/>
    <d v="2024-01-22T00:00:00"/>
    <x v="4"/>
    <s v="Perfume"/>
    <x v="1"/>
    <n v="5"/>
    <n v="2857.35"/>
    <n v="0.2"/>
    <x v="3"/>
    <x v="0"/>
    <x v="1"/>
    <n v="11429.4"/>
    <x v="1"/>
    <s v="medium"/>
  </r>
  <r>
    <x v="784"/>
    <d v="2024-09-24T00:00:00"/>
    <x v="1"/>
    <s v="Sneakers"/>
    <x v="7"/>
    <n v="6"/>
    <n v="3032.56"/>
    <n v="0.05"/>
    <x v="3"/>
    <x v="1"/>
    <x v="1"/>
    <n v="17285.59"/>
    <x v="3"/>
    <s v="medium"/>
  </r>
  <r>
    <x v="785"/>
    <d v="2024-12-21T00:00:00"/>
    <x v="0"/>
    <s v="Wall Clock"/>
    <x v="5"/>
    <n v="2"/>
    <n v="6620.5"/>
    <n v="0.2"/>
    <x v="2"/>
    <x v="3"/>
    <x v="1"/>
    <n v="10592.8"/>
    <x v="4"/>
    <s v="medium"/>
  </r>
  <r>
    <x v="786"/>
    <d v="2024-07-07T00:00:00"/>
    <x v="4"/>
    <s v="Lipstick"/>
    <x v="7"/>
    <n v="5"/>
    <n v="6213.19"/>
    <n v="0"/>
    <x v="1"/>
    <x v="0"/>
    <x v="1"/>
    <n v="31065.95"/>
    <x v="6"/>
    <s v="high"/>
  </r>
  <r>
    <x v="787"/>
    <d v="2024-06-26T00:00:00"/>
    <x v="3"/>
    <s v="Smartwatch"/>
    <x v="6"/>
    <n v="5"/>
    <n v="5112.7299999999996"/>
    <n v="0.2"/>
    <x v="0"/>
    <x v="2"/>
    <x v="1"/>
    <n v="20450.919999999998"/>
    <x v="11"/>
    <s v="high"/>
  </r>
  <r>
    <x v="788"/>
    <d v="2024-01-02T00:00:00"/>
    <x v="2"/>
    <s v="Guide Book"/>
    <x v="0"/>
    <n v="1"/>
    <n v="1152.2"/>
    <n v="0.25"/>
    <x v="3"/>
    <x v="3"/>
    <x v="1"/>
    <n v="864.15"/>
    <x v="1"/>
    <s v="low"/>
  </r>
  <r>
    <x v="789"/>
    <d v="2024-12-25T00:00:00"/>
    <x v="3"/>
    <s v="Bluetooth Speaker"/>
    <x v="7"/>
    <n v="4"/>
    <n v="614.21"/>
    <n v="0.1"/>
    <x v="1"/>
    <x v="2"/>
    <x v="0"/>
    <n v="2211.16"/>
    <x v="4"/>
    <s v="low"/>
  </r>
  <r>
    <x v="790"/>
    <d v="2024-04-19T00:00:00"/>
    <x v="4"/>
    <s v="Perfume"/>
    <x v="6"/>
    <n v="1"/>
    <n v="5450.75"/>
    <n v="0.1"/>
    <x v="0"/>
    <x v="4"/>
    <x v="0"/>
    <n v="4905.68"/>
    <x v="8"/>
    <s v="low"/>
  </r>
  <r>
    <x v="791"/>
    <d v="2024-02-24T00:00:00"/>
    <x v="4"/>
    <s v="Sunscreen"/>
    <x v="0"/>
    <n v="1"/>
    <n v="4338.92"/>
    <n v="0.15"/>
    <x v="0"/>
    <x v="0"/>
    <x v="0"/>
    <n v="3688.08"/>
    <x v="10"/>
    <s v="low"/>
  </r>
  <r>
    <x v="792"/>
    <d v="2024-07-30T00:00:00"/>
    <x v="3"/>
    <s v="Power Bank"/>
    <x v="0"/>
    <n v="4"/>
    <n v="1178.99"/>
    <n v="0.25"/>
    <x v="1"/>
    <x v="1"/>
    <x v="1"/>
    <n v="3536.97"/>
    <x v="6"/>
    <s v="low"/>
  </r>
  <r>
    <x v="793"/>
    <d v="2024-11-18T00:00:00"/>
    <x v="2"/>
    <s v="Novel"/>
    <x v="1"/>
    <n v="1"/>
    <n v="4106.38"/>
    <n v="0"/>
    <x v="1"/>
    <x v="1"/>
    <x v="0"/>
    <n v="4106.38"/>
    <x v="0"/>
    <s v="low"/>
  </r>
  <r>
    <x v="794"/>
    <d v="2024-02-29T00:00:00"/>
    <x v="1"/>
    <s v="Sneakers"/>
    <x v="3"/>
    <n v="4"/>
    <n v="992.49"/>
    <n v="0.05"/>
    <x v="1"/>
    <x v="3"/>
    <x v="1"/>
    <n v="3771.46"/>
    <x v="10"/>
    <s v="low"/>
  </r>
  <r>
    <x v="795"/>
    <d v="2024-02-26T00:00:00"/>
    <x v="1"/>
    <s v="Kurti"/>
    <x v="3"/>
    <n v="2"/>
    <n v="5645.49"/>
    <n v="0"/>
    <x v="0"/>
    <x v="2"/>
    <x v="1"/>
    <n v="11290.98"/>
    <x v="10"/>
    <s v="medium"/>
  </r>
  <r>
    <x v="796"/>
    <d v="2024-05-28T00:00:00"/>
    <x v="3"/>
    <s v="Bluetooth Speaker"/>
    <x v="6"/>
    <n v="5"/>
    <n v="631.25"/>
    <n v="0"/>
    <x v="3"/>
    <x v="2"/>
    <x v="1"/>
    <n v="3156.25"/>
    <x v="9"/>
    <s v="low"/>
  </r>
  <r>
    <x v="797"/>
    <d v="2024-03-29T00:00:00"/>
    <x v="2"/>
    <s v="Notebook"/>
    <x v="3"/>
    <n v="4"/>
    <n v="6393.52"/>
    <n v="0.1"/>
    <x v="0"/>
    <x v="1"/>
    <x v="1"/>
    <n v="23016.67"/>
    <x v="7"/>
    <s v="high"/>
  </r>
  <r>
    <x v="798"/>
    <d v="2024-07-02T00:00:00"/>
    <x v="0"/>
    <s v="Curtain"/>
    <x v="0"/>
    <n v="4"/>
    <n v="7776.42"/>
    <n v="0.15"/>
    <x v="1"/>
    <x v="0"/>
    <x v="1"/>
    <n v="26439.828000000001"/>
    <x v="6"/>
    <s v="high"/>
  </r>
  <r>
    <x v="799"/>
    <d v="2024-05-02T00:00:00"/>
    <x v="0"/>
    <s v="Curtain"/>
    <x v="0"/>
    <n v="1"/>
    <n v="7419.13"/>
    <n v="0.2"/>
    <x v="0"/>
    <x v="3"/>
    <x v="1"/>
    <n v="5935.3"/>
    <x v="9"/>
    <s v="low"/>
  </r>
  <r>
    <x v="800"/>
    <d v="2024-09-15T00:00:00"/>
    <x v="0"/>
    <s v="Wall Clock"/>
    <x v="4"/>
    <n v="4"/>
    <n v="4212.91"/>
    <n v="0.05"/>
    <x v="0"/>
    <x v="3"/>
    <x v="1"/>
    <n v="16009.06"/>
    <x v="3"/>
    <s v="medium"/>
  </r>
  <r>
    <x v="801"/>
    <d v="2024-06-19T00:00:00"/>
    <x v="1"/>
    <s v="Jeans"/>
    <x v="0"/>
    <n v="6"/>
    <n v="4520.5"/>
    <n v="0.2"/>
    <x v="0"/>
    <x v="0"/>
    <x v="1"/>
    <n v="21698.400000000001"/>
    <x v="11"/>
    <s v="high"/>
  </r>
  <r>
    <x v="802"/>
    <d v="2024-10-10T00:00:00"/>
    <x v="1"/>
    <s v="T-Shirt"/>
    <x v="5"/>
    <n v="2"/>
    <n v="4599.8999999999996"/>
    <n v="0"/>
    <x v="1"/>
    <x v="0"/>
    <x v="1"/>
    <n v="9199.7999999999993"/>
    <x v="5"/>
    <s v="low"/>
  </r>
  <r>
    <x v="803"/>
    <d v="2024-07-05T00:00:00"/>
    <x v="0"/>
    <s v="Curtain"/>
    <x v="0"/>
    <n v="2"/>
    <n v="3775.07"/>
    <n v="0"/>
    <x v="1"/>
    <x v="1"/>
    <x v="1"/>
    <n v="7550.14"/>
    <x v="6"/>
    <s v="low"/>
  </r>
  <r>
    <x v="804"/>
    <d v="2024-10-16T00:00:00"/>
    <x v="4"/>
    <s v="Sunscreen"/>
    <x v="5"/>
    <n v="6"/>
    <n v="7444.83"/>
    <n v="0.1"/>
    <x v="0"/>
    <x v="3"/>
    <x v="0"/>
    <n v="40202.080000000002"/>
    <x v="5"/>
    <s v="high"/>
  </r>
  <r>
    <x v="805"/>
    <d v="2024-06-07T00:00:00"/>
    <x v="1"/>
    <s v="Handbag"/>
    <x v="6"/>
    <n v="3"/>
    <n v="6612.94"/>
    <n v="0.05"/>
    <x v="1"/>
    <x v="2"/>
    <x v="1"/>
    <n v="18846.88"/>
    <x v="11"/>
    <s v="medium"/>
  </r>
  <r>
    <x v="806"/>
    <d v="2024-12-18T00:00:00"/>
    <x v="3"/>
    <s v="Smartwatch"/>
    <x v="7"/>
    <n v="5"/>
    <n v="1595.91"/>
    <n v="0.2"/>
    <x v="2"/>
    <x v="3"/>
    <x v="1"/>
    <n v="6383.64"/>
    <x v="4"/>
    <s v="low"/>
  </r>
  <r>
    <x v="807"/>
    <d v="2024-04-28T00:00:00"/>
    <x v="2"/>
    <s v="Guide Book"/>
    <x v="6"/>
    <n v="6"/>
    <n v="1803.39"/>
    <n v="0.2"/>
    <x v="0"/>
    <x v="2"/>
    <x v="1"/>
    <n v="8656.27"/>
    <x v="8"/>
    <s v="low"/>
  </r>
  <r>
    <x v="808"/>
    <d v="2024-09-08T00:00:00"/>
    <x v="3"/>
    <s v="Power Bank"/>
    <x v="7"/>
    <n v="2"/>
    <n v="4320.84"/>
    <n v="0.05"/>
    <x v="3"/>
    <x v="0"/>
    <x v="1"/>
    <n v="8209.6"/>
    <x v="3"/>
    <s v="low"/>
  </r>
  <r>
    <x v="809"/>
    <d v="2024-07-23T00:00:00"/>
    <x v="4"/>
    <s v="Hair Oil"/>
    <x v="1"/>
    <n v="4"/>
    <n v="3938.96"/>
    <n v="0.05"/>
    <x v="0"/>
    <x v="0"/>
    <x v="1"/>
    <n v="14968.05"/>
    <x v="6"/>
    <s v="medium"/>
  </r>
  <r>
    <x v="810"/>
    <d v="2024-03-12T00:00:00"/>
    <x v="4"/>
    <s v="Sunscreen"/>
    <x v="6"/>
    <n v="1"/>
    <n v="3382.04"/>
    <n v="0.1"/>
    <x v="3"/>
    <x v="4"/>
    <x v="1"/>
    <n v="3043.84"/>
    <x v="7"/>
    <s v="low"/>
  </r>
  <r>
    <x v="811"/>
    <d v="2024-10-01T00:00:00"/>
    <x v="1"/>
    <s v="T-Shirt"/>
    <x v="6"/>
    <n v="5"/>
    <n v="3684.84"/>
    <n v="0"/>
    <x v="0"/>
    <x v="4"/>
    <x v="1"/>
    <n v="18424.2"/>
    <x v="5"/>
    <s v="medium"/>
  </r>
  <r>
    <x v="812"/>
    <d v="2024-11-01T00:00:00"/>
    <x v="4"/>
    <s v="Face Wash"/>
    <x v="6"/>
    <n v="2"/>
    <n v="2663.28"/>
    <n v="0.25"/>
    <x v="0"/>
    <x v="3"/>
    <x v="1"/>
    <n v="3994.92"/>
    <x v="0"/>
    <s v="low"/>
  </r>
  <r>
    <x v="813"/>
    <d v="2024-03-19T00:00:00"/>
    <x v="4"/>
    <s v="Lipstick"/>
    <x v="2"/>
    <n v="3"/>
    <n v="1949.3"/>
    <n v="0.05"/>
    <x v="2"/>
    <x v="4"/>
    <x v="1"/>
    <n v="5555.5"/>
    <x v="7"/>
    <s v="low"/>
  </r>
  <r>
    <x v="814"/>
    <d v="2024-02-18T00:00:00"/>
    <x v="4"/>
    <s v="Hair Oil"/>
    <x v="7"/>
    <n v="2"/>
    <n v="2210.29"/>
    <n v="0.1"/>
    <x v="0"/>
    <x v="0"/>
    <x v="1"/>
    <n v="3978.52"/>
    <x v="10"/>
    <s v="low"/>
  </r>
  <r>
    <x v="815"/>
    <d v="2024-09-13T00:00:00"/>
    <x v="0"/>
    <s v="Cushion"/>
    <x v="6"/>
    <n v="1"/>
    <n v="4192.7700000000004"/>
    <n v="0"/>
    <x v="0"/>
    <x v="0"/>
    <x v="1"/>
    <n v="4192.7700000000004"/>
    <x v="3"/>
    <s v="low"/>
  </r>
  <r>
    <x v="816"/>
    <d v="2024-10-19T00:00:00"/>
    <x v="4"/>
    <s v="Lipstick"/>
    <x v="3"/>
    <n v="6"/>
    <n v="2468.1"/>
    <n v="0"/>
    <x v="0"/>
    <x v="0"/>
    <x v="0"/>
    <n v="14808.6"/>
    <x v="5"/>
    <s v="medium"/>
  </r>
  <r>
    <x v="817"/>
    <d v="2024-08-26T00:00:00"/>
    <x v="0"/>
    <s v="Curtain"/>
    <x v="6"/>
    <n v="5"/>
    <n v="463.71"/>
    <n v="0"/>
    <x v="2"/>
    <x v="4"/>
    <x v="1"/>
    <n v="2318.5500000000002"/>
    <x v="2"/>
    <s v="low"/>
  </r>
  <r>
    <x v="818"/>
    <d v="2024-11-07T00:00:00"/>
    <x v="2"/>
    <s v="Comic"/>
    <x v="7"/>
    <n v="4"/>
    <n v="1056.2"/>
    <n v="0.2"/>
    <x v="0"/>
    <x v="0"/>
    <x v="1"/>
    <n v="3379.84"/>
    <x v="0"/>
    <s v="low"/>
  </r>
  <r>
    <x v="819"/>
    <d v="2024-11-12T00:00:00"/>
    <x v="0"/>
    <s v="Bedsheet"/>
    <x v="0"/>
    <n v="5"/>
    <n v="3403.2"/>
    <n v="0.1"/>
    <x v="2"/>
    <x v="4"/>
    <x v="1"/>
    <n v="15314.4"/>
    <x v="0"/>
    <s v="medium"/>
  </r>
  <r>
    <x v="820"/>
    <d v="2024-07-30T00:00:00"/>
    <x v="1"/>
    <s v="Jeans"/>
    <x v="6"/>
    <n v="1"/>
    <n v="3435.56"/>
    <n v="0.1"/>
    <x v="2"/>
    <x v="3"/>
    <x v="1"/>
    <n v="3092"/>
    <x v="6"/>
    <s v="low"/>
  </r>
  <r>
    <x v="821"/>
    <d v="2024-10-29T00:00:00"/>
    <x v="2"/>
    <s v="Comic"/>
    <x v="0"/>
    <n v="4"/>
    <n v="7538.9"/>
    <n v="0.15"/>
    <x v="0"/>
    <x v="0"/>
    <x v="1"/>
    <n v="25632.26"/>
    <x v="5"/>
    <s v="high"/>
  </r>
  <r>
    <x v="822"/>
    <d v="2024-04-08T00:00:00"/>
    <x v="4"/>
    <s v="Perfume"/>
    <x v="2"/>
    <n v="4"/>
    <n v="5651.96"/>
    <n v="0"/>
    <x v="0"/>
    <x v="3"/>
    <x v="0"/>
    <n v="22607.84"/>
    <x v="8"/>
    <s v="high"/>
  </r>
  <r>
    <x v="823"/>
    <d v="2024-05-21T00:00:00"/>
    <x v="3"/>
    <s v="Earbuds"/>
    <x v="7"/>
    <n v="5"/>
    <n v="836.16"/>
    <n v="0.1"/>
    <x v="1"/>
    <x v="3"/>
    <x v="0"/>
    <n v="3762.72"/>
    <x v="9"/>
    <s v="low"/>
  </r>
  <r>
    <x v="824"/>
    <d v="2024-09-26T00:00:00"/>
    <x v="3"/>
    <s v="Phone Cover"/>
    <x v="3"/>
    <n v="3"/>
    <n v="2908.38"/>
    <n v="0"/>
    <x v="0"/>
    <x v="0"/>
    <x v="1"/>
    <n v="8725.14"/>
    <x v="3"/>
    <s v="low"/>
  </r>
  <r>
    <x v="825"/>
    <d v="2024-05-18T00:00:00"/>
    <x v="4"/>
    <s v="Perfume"/>
    <x v="3"/>
    <n v="2"/>
    <n v="3064.65"/>
    <n v="0.1"/>
    <x v="0"/>
    <x v="2"/>
    <x v="0"/>
    <n v="5516.37"/>
    <x v="9"/>
    <s v="low"/>
  </r>
  <r>
    <x v="826"/>
    <d v="2024-05-27T00:00:00"/>
    <x v="2"/>
    <s v="Novel"/>
    <x v="3"/>
    <n v="1"/>
    <n v="2349.46"/>
    <n v="0.25"/>
    <x v="2"/>
    <x v="2"/>
    <x v="0"/>
    <n v="1762.1"/>
    <x v="9"/>
    <s v="low"/>
  </r>
  <r>
    <x v="827"/>
    <d v="2024-05-14T00:00:00"/>
    <x v="0"/>
    <s v="Wall Clock"/>
    <x v="5"/>
    <n v="6"/>
    <n v="1656.7"/>
    <n v="0.2"/>
    <x v="0"/>
    <x v="3"/>
    <x v="0"/>
    <n v="7952.16"/>
    <x v="9"/>
    <s v="low"/>
  </r>
  <r>
    <x v="828"/>
    <d v="2024-01-14T00:00:00"/>
    <x v="1"/>
    <s v="Handbag"/>
    <x v="0"/>
    <n v="2"/>
    <n v="3834.3"/>
    <n v="0"/>
    <x v="2"/>
    <x v="3"/>
    <x v="1"/>
    <n v="7668.6"/>
    <x v="1"/>
    <s v="low"/>
  </r>
  <r>
    <x v="829"/>
    <d v="2024-07-30T00:00:00"/>
    <x v="0"/>
    <s v="Bedsheet"/>
    <x v="6"/>
    <n v="1"/>
    <n v="1469.55"/>
    <n v="0.1"/>
    <x v="0"/>
    <x v="3"/>
    <x v="1"/>
    <n v="1322.6"/>
    <x v="6"/>
    <s v="low"/>
  </r>
  <r>
    <x v="830"/>
    <d v="2024-11-03T00:00:00"/>
    <x v="3"/>
    <s v="Phone Cover"/>
    <x v="6"/>
    <n v="3"/>
    <n v="2718.69"/>
    <n v="0.2"/>
    <x v="0"/>
    <x v="2"/>
    <x v="1"/>
    <n v="6524.86"/>
    <x v="0"/>
    <s v="low"/>
  </r>
  <r>
    <x v="831"/>
    <d v="2024-08-04T00:00:00"/>
    <x v="1"/>
    <s v="Sneakers"/>
    <x v="5"/>
    <n v="3"/>
    <n v="3060.96"/>
    <n v="0"/>
    <x v="0"/>
    <x v="2"/>
    <x v="1"/>
    <n v="9182.8799999999992"/>
    <x v="2"/>
    <s v="low"/>
  </r>
  <r>
    <x v="832"/>
    <d v="2024-01-06T00:00:00"/>
    <x v="4"/>
    <s v="Sunscreen"/>
    <x v="0"/>
    <n v="5"/>
    <n v="3928.05"/>
    <n v="0.15"/>
    <x v="0"/>
    <x v="3"/>
    <x v="1"/>
    <n v="16694.21"/>
    <x v="1"/>
    <s v="medium"/>
  </r>
  <r>
    <x v="833"/>
    <d v="2024-05-03T00:00:00"/>
    <x v="3"/>
    <s v="Phone Cover"/>
    <x v="5"/>
    <n v="5"/>
    <n v="3696.25"/>
    <n v="0"/>
    <x v="3"/>
    <x v="2"/>
    <x v="1"/>
    <n v="18481.25"/>
    <x v="9"/>
    <s v="medium"/>
  </r>
  <r>
    <x v="834"/>
    <d v="2024-07-05T00:00:00"/>
    <x v="4"/>
    <s v="Perfume"/>
    <x v="6"/>
    <n v="1"/>
    <n v="5365.72"/>
    <n v="0.25"/>
    <x v="0"/>
    <x v="2"/>
    <x v="1"/>
    <n v="4024.29"/>
    <x v="6"/>
    <s v="low"/>
  </r>
  <r>
    <x v="835"/>
    <d v="2024-06-12T00:00:00"/>
    <x v="0"/>
    <s v="Wall Clock"/>
    <x v="3"/>
    <n v="1"/>
    <n v="1920.99"/>
    <n v="0.15"/>
    <x v="0"/>
    <x v="1"/>
    <x v="1"/>
    <n v="1632.84"/>
    <x v="11"/>
    <s v="low"/>
  </r>
  <r>
    <x v="836"/>
    <d v="2024-07-23T00:00:00"/>
    <x v="0"/>
    <s v="Curtain"/>
    <x v="0"/>
    <n v="5"/>
    <n v="715.48"/>
    <n v="0"/>
    <x v="1"/>
    <x v="4"/>
    <x v="0"/>
    <n v="3577.4"/>
    <x v="6"/>
    <s v="low"/>
  </r>
  <r>
    <x v="837"/>
    <d v="2024-07-30T00:00:00"/>
    <x v="0"/>
    <s v="Cushion"/>
    <x v="2"/>
    <n v="5"/>
    <n v="4937.34"/>
    <n v="0.25"/>
    <x v="3"/>
    <x v="4"/>
    <x v="0"/>
    <n v="18515.03"/>
    <x v="6"/>
    <s v="medium"/>
  </r>
  <r>
    <x v="838"/>
    <d v="2024-09-03T00:00:00"/>
    <x v="2"/>
    <s v="Guide Book"/>
    <x v="7"/>
    <n v="4"/>
    <n v="6841.87"/>
    <n v="0.1"/>
    <x v="0"/>
    <x v="2"/>
    <x v="1"/>
    <n v="24630.73"/>
    <x v="3"/>
    <s v="high"/>
  </r>
  <r>
    <x v="839"/>
    <d v="2024-03-29T00:00:00"/>
    <x v="1"/>
    <s v="Sneakers"/>
    <x v="0"/>
    <n v="4"/>
    <n v="1145.67"/>
    <n v="0.25"/>
    <x v="2"/>
    <x v="1"/>
    <x v="1"/>
    <n v="3437.01"/>
    <x v="7"/>
    <s v="low"/>
  </r>
  <r>
    <x v="840"/>
    <d v="2024-08-29T00:00:00"/>
    <x v="3"/>
    <s v="Earbuds"/>
    <x v="4"/>
    <n v="1"/>
    <n v="5449.32"/>
    <n v="0.2"/>
    <x v="0"/>
    <x v="4"/>
    <x v="1"/>
    <n v="4359.46"/>
    <x v="2"/>
    <s v="low"/>
  </r>
  <r>
    <x v="841"/>
    <d v="2024-06-22T00:00:00"/>
    <x v="2"/>
    <s v="Guide Book"/>
    <x v="1"/>
    <n v="2"/>
    <n v="4279.4799999999996"/>
    <n v="0.2"/>
    <x v="0"/>
    <x v="0"/>
    <x v="1"/>
    <n v="6847.17"/>
    <x v="11"/>
    <s v="low"/>
  </r>
  <r>
    <x v="842"/>
    <d v="2024-01-13T00:00:00"/>
    <x v="0"/>
    <s v="Table Lamp"/>
    <x v="4"/>
    <n v="1"/>
    <n v="1756.52"/>
    <n v="0.1"/>
    <x v="0"/>
    <x v="3"/>
    <x v="1"/>
    <n v="1580.87"/>
    <x v="1"/>
    <s v="low"/>
  </r>
  <r>
    <x v="843"/>
    <d v="2024-04-04T00:00:00"/>
    <x v="2"/>
    <s v="Guide Book"/>
    <x v="1"/>
    <n v="1"/>
    <n v="1901.65"/>
    <n v="0"/>
    <x v="0"/>
    <x v="3"/>
    <x v="1"/>
    <n v="1901.65"/>
    <x v="8"/>
    <s v="low"/>
  </r>
  <r>
    <x v="844"/>
    <d v="2024-08-28T00:00:00"/>
    <x v="0"/>
    <s v="Cushion"/>
    <x v="1"/>
    <n v="6"/>
    <n v="6998.89"/>
    <n v="0.05"/>
    <x v="0"/>
    <x v="2"/>
    <x v="1"/>
    <n v="39893.67"/>
    <x v="2"/>
    <s v="high"/>
  </r>
  <r>
    <x v="845"/>
    <d v="2024-07-17T00:00:00"/>
    <x v="2"/>
    <s v="Notebook"/>
    <x v="7"/>
    <n v="3"/>
    <n v="7588.75"/>
    <n v="0.2"/>
    <x v="2"/>
    <x v="0"/>
    <x v="0"/>
    <n v="18213"/>
    <x v="6"/>
    <s v="medium"/>
  </r>
  <r>
    <x v="846"/>
    <d v="2024-12-19T00:00:00"/>
    <x v="0"/>
    <s v="Cushion"/>
    <x v="7"/>
    <n v="2"/>
    <n v="1848.44"/>
    <n v="0.1"/>
    <x v="0"/>
    <x v="4"/>
    <x v="1"/>
    <n v="3327.19"/>
    <x v="4"/>
    <s v="low"/>
  </r>
  <r>
    <x v="847"/>
    <d v="2024-07-05T00:00:00"/>
    <x v="4"/>
    <s v="Hair Oil"/>
    <x v="4"/>
    <n v="2"/>
    <n v="7750.41"/>
    <n v="0.05"/>
    <x v="0"/>
    <x v="4"/>
    <x v="0"/>
    <n v="14725.78"/>
    <x v="6"/>
    <s v="medium"/>
  </r>
  <r>
    <x v="848"/>
    <d v="2024-04-21T00:00:00"/>
    <x v="1"/>
    <s v="Handbag"/>
    <x v="6"/>
    <n v="4"/>
    <n v="6883.6"/>
    <n v="0"/>
    <x v="0"/>
    <x v="1"/>
    <x v="1"/>
    <n v="27534.400000000001"/>
    <x v="8"/>
    <s v="high"/>
  </r>
  <r>
    <x v="849"/>
    <d v="2024-10-19T00:00:00"/>
    <x v="2"/>
    <s v="Guide Book"/>
    <x v="1"/>
    <n v="2"/>
    <n v="4292.24"/>
    <n v="0.15"/>
    <x v="0"/>
    <x v="1"/>
    <x v="1"/>
    <n v="7296.81"/>
    <x v="5"/>
    <s v="low"/>
  </r>
  <r>
    <x v="850"/>
    <d v="2024-04-13T00:00:00"/>
    <x v="0"/>
    <s v="Wall Clock"/>
    <x v="2"/>
    <n v="4"/>
    <n v="7491.71"/>
    <n v="0"/>
    <x v="2"/>
    <x v="0"/>
    <x v="1"/>
    <n v="29966.84"/>
    <x v="8"/>
    <s v="high"/>
  </r>
  <r>
    <x v="851"/>
    <d v="2024-04-04T00:00:00"/>
    <x v="0"/>
    <s v="Cushion"/>
    <x v="0"/>
    <n v="5"/>
    <n v="4894.7700000000004"/>
    <n v="0.1"/>
    <x v="2"/>
    <x v="4"/>
    <x v="1"/>
    <n v="22026.47"/>
    <x v="8"/>
    <s v="high"/>
  </r>
  <r>
    <x v="852"/>
    <d v="2024-05-26T00:00:00"/>
    <x v="1"/>
    <s v="Jeans"/>
    <x v="5"/>
    <n v="6"/>
    <n v="4312.5200000000004"/>
    <n v="0.2"/>
    <x v="3"/>
    <x v="2"/>
    <x v="1"/>
    <n v="20700.096000000001"/>
    <x v="9"/>
    <s v="high"/>
  </r>
  <r>
    <x v="853"/>
    <d v="2024-08-07T00:00:00"/>
    <x v="0"/>
    <s v="Bedsheet"/>
    <x v="7"/>
    <n v="1"/>
    <n v="3245.4"/>
    <n v="0"/>
    <x v="2"/>
    <x v="0"/>
    <x v="1"/>
    <n v="3245.4"/>
    <x v="2"/>
    <s v="low"/>
  </r>
  <r>
    <x v="854"/>
    <d v="2024-06-30T00:00:00"/>
    <x v="1"/>
    <s v="Kurti"/>
    <x v="3"/>
    <n v="2"/>
    <n v="7262.99"/>
    <n v="0"/>
    <x v="0"/>
    <x v="0"/>
    <x v="1"/>
    <n v="14525.98"/>
    <x v="11"/>
    <s v="medium"/>
  </r>
  <r>
    <x v="855"/>
    <d v="2024-11-01T00:00:00"/>
    <x v="4"/>
    <s v="Lipstick"/>
    <x v="0"/>
    <n v="4"/>
    <n v="5270.33"/>
    <n v="0.1"/>
    <x v="3"/>
    <x v="0"/>
    <x v="1"/>
    <n v="18973.189999999999"/>
    <x v="0"/>
    <s v="medium"/>
  </r>
  <r>
    <x v="856"/>
    <d v="2024-11-05T00:00:00"/>
    <x v="0"/>
    <s v="Table Lamp"/>
    <x v="0"/>
    <n v="4"/>
    <n v="5326.71"/>
    <n v="0.2"/>
    <x v="1"/>
    <x v="0"/>
    <x v="1"/>
    <n v="17045.47"/>
    <x v="0"/>
    <s v="medium"/>
  </r>
  <r>
    <x v="857"/>
    <d v="2024-08-31T00:00:00"/>
    <x v="1"/>
    <s v="Handbag"/>
    <x v="5"/>
    <n v="1"/>
    <n v="1509.89"/>
    <n v="0.15"/>
    <x v="0"/>
    <x v="3"/>
    <x v="1"/>
    <n v="1283.4100000000001"/>
    <x v="2"/>
    <s v="low"/>
  </r>
  <r>
    <x v="858"/>
    <d v="2024-11-18T00:00:00"/>
    <x v="1"/>
    <s v="Handbag"/>
    <x v="7"/>
    <n v="2"/>
    <n v="4797.34"/>
    <n v="0.2"/>
    <x v="3"/>
    <x v="2"/>
    <x v="1"/>
    <n v="7675.74"/>
    <x v="0"/>
    <s v="low"/>
  </r>
  <r>
    <x v="859"/>
    <d v="2024-07-26T00:00:00"/>
    <x v="4"/>
    <s v="Sunscreen"/>
    <x v="0"/>
    <n v="5"/>
    <n v="3656.2"/>
    <n v="0"/>
    <x v="3"/>
    <x v="4"/>
    <x v="1"/>
    <n v="18281"/>
    <x v="6"/>
    <s v="medium"/>
  </r>
  <r>
    <x v="860"/>
    <d v="2024-04-19T00:00:00"/>
    <x v="4"/>
    <s v="Sunscreen"/>
    <x v="0"/>
    <n v="2"/>
    <n v="214.86"/>
    <n v="0.2"/>
    <x v="0"/>
    <x v="3"/>
    <x v="1"/>
    <n v="343.78"/>
    <x v="8"/>
    <s v="low"/>
  </r>
  <r>
    <x v="861"/>
    <d v="2024-08-23T00:00:00"/>
    <x v="4"/>
    <s v="Sunscreen"/>
    <x v="0"/>
    <n v="1"/>
    <n v="1182.5999999999999"/>
    <n v="0.1"/>
    <x v="0"/>
    <x v="3"/>
    <x v="0"/>
    <n v="1064.3399999999999"/>
    <x v="2"/>
    <s v="low"/>
  </r>
  <r>
    <x v="862"/>
    <d v="2024-12-27T00:00:00"/>
    <x v="2"/>
    <s v="Notebook"/>
    <x v="0"/>
    <n v="3"/>
    <n v="572.30999999999995"/>
    <n v="0"/>
    <x v="0"/>
    <x v="4"/>
    <x v="1"/>
    <n v="1716.93"/>
    <x v="4"/>
    <s v="low"/>
  </r>
  <r>
    <x v="863"/>
    <d v="2024-02-15T00:00:00"/>
    <x v="1"/>
    <s v="T-Shirt"/>
    <x v="0"/>
    <n v="4"/>
    <n v="4238.09"/>
    <n v="0.1"/>
    <x v="0"/>
    <x v="0"/>
    <x v="0"/>
    <n v="15257.12"/>
    <x v="10"/>
    <s v="medium"/>
  </r>
  <r>
    <x v="864"/>
    <d v="2024-06-17T00:00:00"/>
    <x v="2"/>
    <s v="Notebook"/>
    <x v="3"/>
    <n v="5"/>
    <n v="6668.02"/>
    <n v="0"/>
    <x v="0"/>
    <x v="3"/>
    <x v="0"/>
    <n v="33340.1"/>
    <x v="11"/>
    <s v="high"/>
  </r>
  <r>
    <x v="865"/>
    <d v="2024-10-29T00:00:00"/>
    <x v="0"/>
    <s v="Cushion"/>
    <x v="7"/>
    <n v="1"/>
    <n v="7012.39"/>
    <n v="0.05"/>
    <x v="0"/>
    <x v="0"/>
    <x v="1"/>
    <n v="6661.77"/>
    <x v="5"/>
    <s v="low"/>
  </r>
  <r>
    <x v="866"/>
    <d v="2024-10-22T00:00:00"/>
    <x v="1"/>
    <s v="T-Shirt"/>
    <x v="6"/>
    <n v="5"/>
    <n v="3338.97"/>
    <n v="0.1"/>
    <x v="0"/>
    <x v="0"/>
    <x v="1"/>
    <n v="15025.36"/>
    <x v="5"/>
    <s v="medium"/>
  </r>
  <r>
    <x v="867"/>
    <d v="2024-12-04T00:00:00"/>
    <x v="0"/>
    <s v="Curtain"/>
    <x v="2"/>
    <n v="1"/>
    <n v="6893.57"/>
    <n v="0.2"/>
    <x v="0"/>
    <x v="1"/>
    <x v="0"/>
    <n v="5514.86"/>
    <x v="4"/>
    <s v="low"/>
  </r>
  <r>
    <x v="868"/>
    <d v="2024-10-18T00:00:00"/>
    <x v="1"/>
    <s v="T-Shirt"/>
    <x v="1"/>
    <n v="5"/>
    <n v="2281.39"/>
    <n v="0.1"/>
    <x v="0"/>
    <x v="4"/>
    <x v="0"/>
    <n v="10266.25"/>
    <x v="5"/>
    <s v="medium"/>
  </r>
  <r>
    <x v="869"/>
    <d v="2024-04-06T00:00:00"/>
    <x v="1"/>
    <s v="Sneakers"/>
    <x v="1"/>
    <n v="5"/>
    <n v="3639.26"/>
    <n v="0.1"/>
    <x v="1"/>
    <x v="4"/>
    <x v="1"/>
    <n v="16376.67"/>
    <x v="8"/>
    <s v="medium"/>
  </r>
  <r>
    <x v="870"/>
    <d v="2024-09-17T00:00:00"/>
    <x v="0"/>
    <s v="Curtain"/>
    <x v="1"/>
    <n v="4"/>
    <n v="7789.26"/>
    <n v="0"/>
    <x v="2"/>
    <x v="3"/>
    <x v="1"/>
    <n v="31157.040000000001"/>
    <x v="3"/>
    <s v="high"/>
  </r>
  <r>
    <x v="871"/>
    <d v="2024-11-30T00:00:00"/>
    <x v="0"/>
    <s v="Wall Clock"/>
    <x v="3"/>
    <n v="1"/>
    <n v="6848"/>
    <n v="0"/>
    <x v="0"/>
    <x v="1"/>
    <x v="1"/>
    <n v="6848"/>
    <x v="0"/>
    <s v="low"/>
  </r>
  <r>
    <x v="872"/>
    <d v="2024-11-05T00:00:00"/>
    <x v="4"/>
    <s v="Sunscreen"/>
    <x v="0"/>
    <n v="2"/>
    <n v="848.46"/>
    <n v="0.15"/>
    <x v="1"/>
    <x v="4"/>
    <x v="0"/>
    <n v="1442.38"/>
    <x v="0"/>
    <s v="low"/>
  </r>
  <r>
    <x v="873"/>
    <d v="2024-10-15T00:00:00"/>
    <x v="3"/>
    <s v="Earbuds"/>
    <x v="5"/>
    <n v="1"/>
    <n v="2246.25"/>
    <n v="0.05"/>
    <x v="1"/>
    <x v="4"/>
    <x v="1"/>
    <n v="2133.94"/>
    <x v="5"/>
    <s v="low"/>
  </r>
  <r>
    <x v="874"/>
    <d v="2024-02-23T00:00:00"/>
    <x v="4"/>
    <s v="Face Wash"/>
    <x v="0"/>
    <n v="2"/>
    <n v="3328.59"/>
    <n v="0.2"/>
    <x v="1"/>
    <x v="0"/>
    <x v="1"/>
    <n v="5325.74"/>
    <x v="10"/>
    <s v="low"/>
  </r>
  <r>
    <x v="875"/>
    <d v="2024-04-25T00:00:00"/>
    <x v="3"/>
    <s v="Power Bank"/>
    <x v="3"/>
    <n v="2"/>
    <n v="2144.84"/>
    <n v="0.15"/>
    <x v="0"/>
    <x v="2"/>
    <x v="1"/>
    <n v="3646.23"/>
    <x v="8"/>
    <s v="low"/>
  </r>
  <r>
    <x v="876"/>
    <d v="2024-10-23T00:00:00"/>
    <x v="0"/>
    <s v="Wall Clock"/>
    <x v="0"/>
    <n v="2"/>
    <n v="2088.85"/>
    <n v="0.2"/>
    <x v="0"/>
    <x v="0"/>
    <x v="1"/>
    <n v="3342.16"/>
    <x v="5"/>
    <s v="low"/>
  </r>
  <r>
    <x v="877"/>
    <d v="2024-05-11T00:00:00"/>
    <x v="0"/>
    <s v="Cushion"/>
    <x v="6"/>
    <n v="5"/>
    <n v="4282.59"/>
    <n v="0.1"/>
    <x v="0"/>
    <x v="3"/>
    <x v="0"/>
    <n v="19271.66"/>
    <x v="9"/>
    <s v="medium"/>
  </r>
  <r>
    <x v="878"/>
    <d v="2024-10-26T00:00:00"/>
    <x v="3"/>
    <s v="Power Bank"/>
    <x v="6"/>
    <n v="2"/>
    <n v="4674.4799999999996"/>
    <n v="0.05"/>
    <x v="0"/>
    <x v="3"/>
    <x v="1"/>
    <n v="8881.51"/>
    <x v="5"/>
    <s v="low"/>
  </r>
  <r>
    <x v="879"/>
    <d v="2024-05-29T00:00:00"/>
    <x v="1"/>
    <s v="Handbag"/>
    <x v="4"/>
    <n v="4"/>
    <n v="4390.1499999999996"/>
    <n v="0.25"/>
    <x v="2"/>
    <x v="3"/>
    <x v="1"/>
    <n v="13170.45"/>
    <x v="9"/>
    <s v="medium"/>
  </r>
  <r>
    <x v="880"/>
    <d v="2024-07-09T00:00:00"/>
    <x v="4"/>
    <s v="Hair Oil"/>
    <x v="1"/>
    <n v="5"/>
    <n v="6794.79"/>
    <n v="0.1"/>
    <x v="3"/>
    <x v="0"/>
    <x v="1"/>
    <n v="30576.55"/>
    <x v="6"/>
    <s v="high"/>
  </r>
  <r>
    <x v="881"/>
    <d v="2024-05-06T00:00:00"/>
    <x v="1"/>
    <s v="Kurti"/>
    <x v="2"/>
    <n v="4"/>
    <n v="7732.17"/>
    <n v="0.05"/>
    <x v="1"/>
    <x v="1"/>
    <x v="1"/>
    <n v="29382.25"/>
    <x v="9"/>
    <s v="high"/>
  </r>
  <r>
    <x v="882"/>
    <d v="2024-12-22T00:00:00"/>
    <x v="1"/>
    <s v="Sneakers"/>
    <x v="1"/>
    <n v="5"/>
    <n v="3904.79"/>
    <n v="0.15"/>
    <x v="0"/>
    <x v="2"/>
    <x v="1"/>
    <n v="16595.36"/>
    <x v="4"/>
    <s v="medium"/>
  </r>
  <r>
    <x v="883"/>
    <d v="2024-06-20T00:00:00"/>
    <x v="2"/>
    <s v="Comic"/>
    <x v="5"/>
    <n v="3"/>
    <n v="4677.2299999999996"/>
    <n v="0.1"/>
    <x v="0"/>
    <x v="4"/>
    <x v="1"/>
    <n v="12628.52"/>
    <x v="11"/>
    <s v="medium"/>
  </r>
  <r>
    <x v="884"/>
    <d v="2024-01-05T00:00:00"/>
    <x v="3"/>
    <s v="Earbuds"/>
    <x v="4"/>
    <n v="3"/>
    <n v="4313.9399999999996"/>
    <n v="0.05"/>
    <x v="0"/>
    <x v="1"/>
    <x v="1"/>
    <n v="12294.73"/>
    <x v="1"/>
    <s v="medium"/>
  </r>
  <r>
    <x v="885"/>
    <d v="2024-06-19T00:00:00"/>
    <x v="1"/>
    <s v="Handbag"/>
    <x v="5"/>
    <n v="1"/>
    <n v="6576.01"/>
    <n v="0"/>
    <x v="0"/>
    <x v="0"/>
    <x v="1"/>
    <n v="6576.01"/>
    <x v="11"/>
    <s v="low"/>
  </r>
  <r>
    <x v="886"/>
    <d v="2024-08-18T00:00:00"/>
    <x v="3"/>
    <s v="Earbuds"/>
    <x v="2"/>
    <n v="3"/>
    <n v="4483.07"/>
    <n v="0.2"/>
    <x v="0"/>
    <x v="1"/>
    <x v="1"/>
    <n v="10759.37"/>
    <x v="2"/>
    <s v="medium"/>
  </r>
  <r>
    <x v="887"/>
    <d v="2024-03-28T00:00:00"/>
    <x v="0"/>
    <s v="Curtain"/>
    <x v="7"/>
    <n v="1"/>
    <n v="5313.03"/>
    <n v="0"/>
    <x v="2"/>
    <x v="1"/>
    <x v="1"/>
    <n v="5313.03"/>
    <x v="7"/>
    <s v="low"/>
  </r>
  <r>
    <x v="888"/>
    <d v="2024-12-26T00:00:00"/>
    <x v="3"/>
    <s v="Phone Cover"/>
    <x v="2"/>
    <n v="1"/>
    <n v="7270.5"/>
    <n v="0"/>
    <x v="1"/>
    <x v="4"/>
    <x v="1"/>
    <n v="7270.5"/>
    <x v="4"/>
    <s v="low"/>
  </r>
  <r>
    <x v="889"/>
    <d v="2024-04-28T00:00:00"/>
    <x v="3"/>
    <s v="Power Bank"/>
    <x v="3"/>
    <n v="3"/>
    <n v="6080.56"/>
    <n v="0.05"/>
    <x v="0"/>
    <x v="3"/>
    <x v="1"/>
    <n v="17329.599999999999"/>
    <x v="8"/>
    <s v="medium"/>
  </r>
  <r>
    <x v="890"/>
    <d v="2024-08-08T00:00:00"/>
    <x v="0"/>
    <s v="Wall Clock"/>
    <x v="0"/>
    <n v="2"/>
    <n v="3394.83"/>
    <n v="0"/>
    <x v="2"/>
    <x v="2"/>
    <x v="1"/>
    <n v="6789.66"/>
    <x v="2"/>
    <s v="low"/>
  </r>
  <r>
    <x v="891"/>
    <d v="2024-10-17T00:00:00"/>
    <x v="3"/>
    <s v="Power Bank"/>
    <x v="4"/>
    <n v="6"/>
    <n v="4165.3999999999996"/>
    <n v="0"/>
    <x v="2"/>
    <x v="0"/>
    <x v="1"/>
    <n v="24992.400000000001"/>
    <x v="5"/>
    <s v="high"/>
  </r>
  <r>
    <x v="892"/>
    <d v="2024-09-14T00:00:00"/>
    <x v="0"/>
    <s v="Table Lamp"/>
    <x v="0"/>
    <n v="5"/>
    <n v="2835.98"/>
    <n v="0.1"/>
    <x v="0"/>
    <x v="2"/>
    <x v="0"/>
    <n v="12761.91"/>
    <x v="3"/>
    <s v="medium"/>
  </r>
  <r>
    <x v="893"/>
    <d v="2024-09-22T00:00:00"/>
    <x v="3"/>
    <s v="Phone Cover"/>
    <x v="6"/>
    <n v="3"/>
    <n v="7818.82"/>
    <n v="0.15"/>
    <x v="0"/>
    <x v="0"/>
    <x v="1"/>
    <n v="19937.990000000002"/>
    <x v="3"/>
    <s v="medium"/>
  </r>
  <r>
    <x v="894"/>
    <d v="2024-03-05T00:00:00"/>
    <x v="1"/>
    <s v="Jeans"/>
    <x v="7"/>
    <n v="6"/>
    <n v="4716.21"/>
    <n v="0.1"/>
    <x v="0"/>
    <x v="2"/>
    <x v="0"/>
    <n v="25467.53"/>
    <x v="7"/>
    <s v="high"/>
  </r>
  <r>
    <x v="895"/>
    <d v="2024-12-03T00:00:00"/>
    <x v="1"/>
    <s v="Handbag"/>
    <x v="1"/>
    <n v="1"/>
    <n v="4193.9399999999996"/>
    <n v="0.25"/>
    <x v="3"/>
    <x v="1"/>
    <x v="0"/>
    <n v="3145.4549999999999"/>
    <x v="4"/>
    <s v="low"/>
  </r>
  <r>
    <x v="896"/>
    <d v="2024-05-25T00:00:00"/>
    <x v="4"/>
    <s v="Face Wash"/>
    <x v="6"/>
    <n v="1"/>
    <n v="7721.17"/>
    <n v="0.05"/>
    <x v="1"/>
    <x v="1"/>
    <x v="1"/>
    <n v="7335.11"/>
    <x v="9"/>
    <s v="low"/>
  </r>
  <r>
    <x v="897"/>
    <d v="2024-09-29T00:00:00"/>
    <x v="2"/>
    <s v="Comic"/>
    <x v="4"/>
    <n v="5"/>
    <n v="4319.1000000000004"/>
    <n v="0.05"/>
    <x v="0"/>
    <x v="2"/>
    <x v="0"/>
    <n v="20515.72"/>
    <x v="3"/>
    <s v="high"/>
  </r>
  <r>
    <x v="898"/>
    <d v="2024-01-16T00:00:00"/>
    <x v="0"/>
    <s v="Cushion"/>
    <x v="3"/>
    <n v="4"/>
    <n v="7213.88"/>
    <n v="0.2"/>
    <x v="0"/>
    <x v="4"/>
    <x v="1"/>
    <n v="23084.42"/>
    <x v="1"/>
    <s v="high"/>
  </r>
  <r>
    <x v="899"/>
    <d v="2024-01-15T00:00:00"/>
    <x v="0"/>
    <s v="Curtain"/>
    <x v="2"/>
    <n v="6"/>
    <n v="1825.78"/>
    <n v="0.25"/>
    <x v="0"/>
    <x v="4"/>
    <x v="1"/>
    <n v="8216.01"/>
    <x v="1"/>
    <s v="low"/>
  </r>
  <r>
    <x v="900"/>
    <d v="2024-04-08T00:00:00"/>
    <x v="3"/>
    <s v="Phone Cover"/>
    <x v="4"/>
    <n v="3"/>
    <n v="3924.76"/>
    <n v="0.05"/>
    <x v="0"/>
    <x v="3"/>
    <x v="1"/>
    <n v="11185.57"/>
    <x v="8"/>
    <s v="medium"/>
  </r>
  <r>
    <x v="901"/>
    <d v="2024-03-12T00:00:00"/>
    <x v="0"/>
    <s v="Table Lamp"/>
    <x v="5"/>
    <n v="6"/>
    <n v="1508.88"/>
    <n v="0.1"/>
    <x v="2"/>
    <x v="1"/>
    <x v="1"/>
    <n v="8147.95"/>
    <x v="7"/>
    <s v="low"/>
  </r>
  <r>
    <x v="902"/>
    <d v="2024-12-11T00:00:00"/>
    <x v="3"/>
    <s v="Smartwatch"/>
    <x v="1"/>
    <n v="3"/>
    <n v="1816.93"/>
    <n v="0.25"/>
    <x v="0"/>
    <x v="3"/>
    <x v="0"/>
    <n v="4088.09"/>
    <x v="4"/>
    <s v="low"/>
  </r>
  <r>
    <x v="903"/>
    <d v="2024-12-14T00:00:00"/>
    <x v="1"/>
    <s v="T-Shirt"/>
    <x v="5"/>
    <n v="1"/>
    <n v="5375.47"/>
    <n v="0.1"/>
    <x v="2"/>
    <x v="3"/>
    <x v="0"/>
    <n v="4837.92"/>
    <x v="4"/>
    <s v="low"/>
  </r>
  <r>
    <x v="904"/>
    <d v="2024-10-15T00:00:00"/>
    <x v="2"/>
    <s v="Guide Book"/>
    <x v="1"/>
    <n v="4"/>
    <n v="6652.02"/>
    <n v="0.1"/>
    <x v="1"/>
    <x v="3"/>
    <x v="1"/>
    <n v="23947.27"/>
    <x v="5"/>
    <s v="high"/>
  </r>
  <r>
    <x v="905"/>
    <d v="2024-09-11T00:00:00"/>
    <x v="1"/>
    <s v="Kurti"/>
    <x v="2"/>
    <n v="1"/>
    <n v="4714.26"/>
    <n v="0.15"/>
    <x v="1"/>
    <x v="2"/>
    <x v="0"/>
    <n v="4007.12"/>
    <x v="3"/>
    <s v="low"/>
  </r>
  <r>
    <x v="906"/>
    <d v="2024-06-17T00:00:00"/>
    <x v="1"/>
    <s v="Handbag"/>
    <x v="5"/>
    <n v="1"/>
    <n v="1328.28"/>
    <n v="0"/>
    <x v="1"/>
    <x v="2"/>
    <x v="1"/>
    <n v="1328.28"/>
    <x v="11"/>
    <s v="low"/>
  </r>
  <r>
    <x v="907"/>
    <d v="2024-09-13T00:00:00"/>
    <x v="3"/>
    <s v="Bluetooth Speaker"/>
    <x v="7"/>
    <n v="4"/>
    <n v="2221.23"/>
    <n v="0"/>
    <x v="1"/>
    <x v="4"/>
    <x v="1"/>
    <n v="8884.92"/>
    <x v="3"/>
    <s v="low"/>
  </r>
  <r>
    <x v="908"/>
    <d v="2024-06-02T00:00:00"/>
    <x v="3"/>
    <s v="Smartwatch"/>
    <x v="1"/>
    <n v="4"/>
    <n v="4195.33"/>
    <n v="0.15"/>
    <x v="2"/>
    <x v="0"/>
    <x v="1"/>
    <n v="14264.12"/>
    <x v="11"/>
    <s v="medium"/>
  </r>
  <r>
    <x v="909"/>
    <d v="2024-02-19T00:00:00"/>
    <x v="4"/>
    <s v="Lipstick"/>
    <x v="6"/>
    <n v="6"/>
    <n v="7816.03"/>
    <n v="0.1"/>
    <x v="3"/>
    <x v="0"/>
    <x v="1"/>
    <n v="42206.559999999998"/>
    <x v="10"/>
    <s v="high"/>
  </r>
  <r>
    <x v="910"/>
    <d v="2024-08-05T00:00:00"/>
    <x v="1"/>
    <s v="T-Shirt"/>
    <x v="3"/>
    <n v="5"/>
    <n v="6634.62"/>
    <n v="0.2"/>
    <x v="0"/>
    <x v="4"/>
    <x v="1"/>
    <n v="26538.48"/>
    <x v="2"/>
    <s v="high"/>
  </r>
  <r>
    <x v="911"/>
    <d v="2024-02-28T00:00:00"/>
    <x v="1"/>
    <s v="Jeans"/>
    <x v="5"/>
    <n v="2"/>
    <n v="6232.66"/>
    <n v="0"/>
    <x v="2"/>
    <x v="4"/>
    <x v="1"/>
    <n v="12465.32"/>
    <x v="10"/>
    <s v="medium"/>
  </r>
  <r>
    <x v="912"/>
    <d v="2024-01-10T00:00:00"/>
    <x v="4"/>
    <s v="Face Wash"/>
    <x v="4"/>
    <n v="3"/>
    <n v="2140.23"/>
    <n v="0.2"/>
    <x v="1"/>
    <x v="2"/>
    <x v="1"/>
    <n v="5136.5520000000006"/>
    <x v="1"/>
    <s v="low"/>
  </r>
  <r>
    <x v="913"/>
    <d v="2024-06-17T00:00:00"/>
    <x v="2"/>
    <s v="Novel"/>
    <x v="0"/>
    <n v="1"/>
    <n v="956.67"/>
    <n v="0.05"/>
    <x v="3"/>
    <x v="1"/>
    <x v="1"/>
    <n v="908.84"/>
    <x v="11"/>
    <s v="low"/>
  </r>
  <r>
    <x v="914"/>
    <d v="2024-09-30T00:00:00"/>
    <x v="0"/>
    <s v="Wall Clock"/>
    <x v="7"/>
    <n v="3"/>
    <n v="2381.37"/>
    <n v="0.1"/>
    <x v="1"/>
    <x v="0"/>
    <x v="1"/>
    <n v="6429.7"/>
    <x v="3"/>
    <s v="low"/>
  </r>
  <r>
    <x v="915"/>
    <d v="2024-01-16T00:00:00"/>
    <x v="1"/>
    <s v="Handbag"/>
    <x v="5"/>
    <n v="6"/>
    <n v="6747.64"/>
    <n v="0"/>
    <x v="0"/>
    <x v="1"/>
    <x v="1"/>
    <n v="40485.839999999997"/>
    <x v="1"/>
    <s v="high"/>
  </r>
  <r>
    <x v="916"/>
    <d v="2024-01-02T00:00:00"/>
    <x v="2"/>
    <s v="Guide Book"/>
    <x v="3"/>
    <n v="1"/>
    <n v="5743.91"/>
    <n v="0"/>
    <x v="0"/>
    <x v="0"/>
    <x v="1"/>
    <n v="5743.91"/>
    <x v="1"/>
    <s v="low"/>
  </r>
  <r>
    <x v="917"/>
    <d v="2024-11-19T00:00:00"/>
    <x v="3"/>
    <s v="Power Bank"/>
    <x v="2"/>
    <n v="4"/>
    <n v="7238.53"/>
    <n v="0.2"/>
    <x v="1"/>
    <x v="4"/>
    <x v="0"/>
    <n v="23163.3"/>
    <x v="0"/>
    <s v="high"/>
  </r>
  <r>
    <x v="918"/>
    <d v="2024-06-27T00:00:00"/>
    <x v="4"/>
    <s v="Lipstick"/>
    <x v="2"/>
    <n v="3"/>
    <n v="3867.11"/>
    <n v="0.15"/>
    <x v="0"/>
    <x v="1"/>
    <x v="1"/>
    <n v="9861.1299999999992"/>
    <x v="11"/>
    <s v="low"/>
  </r>
  <r>
    <x v="919"/>
    <d v="2024-07-30T00:00:00"/>
    <x v="1"/>
    <s v="Jeans"/>
    <x v="1"/>
    <n v="4"/>
    <n v="4480.08"/>
    <n v="0.25"/>
    <x v="0"/>
    <x v="0"/>
    <x v="1"/>
    <n v="13440.24"/>
    <x v="6"/>
    <s v="medium"/>
  </r>
  <r>
    <x v="920"/>
    <d v="2024-01-31T00:00:00"/>
    <x v="4"/>
    <s v="Sunscreen"/>
    <x v="2"/>
    <n v="6"/>
    <n v="4673.2"/>
    <n v="0.15"/>
    <x v="0"/>
    <x v="1"/>
    <x v="1"/>
    <n v="23833.32"/>
    <x v="1"/>
    <s v="high"/>
  </r>
  <r>
    <x v="921"/>
    <d v="2024-09-06T00:00:00"/>
    <x v="2"/>
    <s v="Novel"/>
    <x v="5"/>
    <n v="3"/>
    <n v="6801.5"/>
    <n v="0.15"/>
    <x v="0"/>
    <x v="3"/>
    <x v="0"/>
    <n v="17343.830000000002"/>
    <x v="3"/>
    <s v="medium"/>
  </r>
  <r>
    <x v="922"/>
    <d v="2024-08-18T00:00:00"/>
    <x v="2"/>
    <s v="Guide Book"/>
    <x v="5"/>
    <n v="1"/>
    <n v="6595.63"/>
    <n v="0.15"/>
    <x v="1"/>
    <x v="3"/>
    <x v="0"/>
    <n v="5606.29"/>
    <x v="2"/>
    <s v="low"/>
  </r>
  <r>
    <x v="923"/>
    <d v="2024-04-14T00:00:00"/>
    <x v="1"/>
    <s v="Handbag"/>
    <x v="1"/>
    <n v="2"/>
    <n v="3249.9"/>
    <n v="0.15"/>
    <x v="0"/>
    <x v="4"/>
    <x v="1"/>
    <n v="5524.83"/>
    <x v="8"/>
    <s v="low"/>
  </r>
  <r>
    <x v="924"/>
    <d v="2024-11-20T00:00:00"/>
    <x v="1"/>
    <s v="Handbag"/>
    <x v="4"/>
    <n v="2"/>
    <n v="2030.51"/>
    <n v="0.2"/>
    <x v="0"/>
    <x v="0"/>
    <x v="1"/>
    <n v="3248.82"/>
    <x v="0"/>
    <s v="low"/>
  </r>
  <r>
    <x v="925"/>
    <d v="2024-06-13T00:00:00"/>
    <x v="1"/>
    <s v="Jeans"/>
    <x v="2"/>
    <n v="1"/>
    <n v="3877.66"/>
    <n v="0.1"/>
    <x v="1"/>
    <x v="2"/>
    <x v="1"/>
    <n v="3489.89"/>
    <x v="11"/>
    <s v="low"/>
  </r>
  <r>
    <x v="926"/>
    <d v="2024-09-25T00:00:00"/>
    <x v="2"/>
    <s v="Guide Book"/>
    <x v="7"/>
    <n v="1"/>
    <n v="2871.92"/>
    <n v="0.05"/>
    <x v="0"/>
    <x v="1"/>
    <x v="1"/>
    <n v="2728.32"/>
    <x v="3"/>
    <s v="low"/>
  </r>
  <r>
    <x v="927"/>
    <d v="2024-12-20T00:00:00"/>
    <x v="3"/>
    <s v="Phone Cover"/>
    <x v="3"/>
    <n v="4"/>
    <n v="5474.28"/>
    <n v="0.1"/>
    <x v="3"/>
    <x v="2"/>
    <x v="1"/>
    <n v="19707.41"/>
    <x v="4"/>
    <s v="medium"/>
  </r>
  <r>
    <x v="928"/>
    <d v="2024-11-02T00:00:00"/>
    <x v="3"/>
    <s v="Power Bank"/>
    <x v="4"/>
    <n v="3"/>
    <n v="3855.7"/>
    <n v="0"/>
    <x v="3"/>
    <x v="4"/>
    <x v="1"/>
    <n v="11567.1"/>
    <x v="0"/>
    <s v="medium"/>
  </r>
  <r>
    <x v="929"/>
    <d v="2024-08-03T00:00:00"/>
    <x v="0"/>
    <s v="Table Lamp"/>
    <x v="5"/>
    <n v="6"/>
    <n v="5700.01"/>
    <n v="0.1"/>
    <x v="1"/>
    <x v="1"/>
    <x v="1"/>
    <n v="30780.05"/>
    <x v="2"/>
    <s v="high"/>
  </r>
  <r>
    <x v="930"/>
    <d v="2024-11-02T00:00:00"/>
    <x v="4"/>
    <s v="Perfume"/>
    <x v="4"/>
    <n v="3"/>
    <n v="2074.88"/>
    <n v="0.15"/>
    <x v="3"/>
    <x v="1"/>
    <x v="1"/>
    <n v="5290.94"/>
    <x v="0"/>
    <s v="low"/>
  </r>
  <r>
    <x v="931"/>
    <d v="2024-09-16T00:00:00"/>
    <x v="2"/>
    <s v="Guide Book"/>
    <x v="6"/>
    <n v="2"/>
    <n v="7349.49"/>
    <n v="0.15"/>
    <x v="0"/>
    <x v="0"/>
    <x v="1"/>
    <n v="12494.13"/>
    <x v="3"/>
    <s v="medium"/>
  </r>
  <r>
    <x v="932"/>
    <d v="2024-07-17T00:00:00"/>
    <x v="0"/>
    <s v="Cushion"/>
    <x v="6"/>
    <n v="4"/>
    <n v="3106.29"/>
    <n v="0.1"/>
    <x v="0"/>
    <x v="4"/>
    <x v="1"/>
    <n v="11182.64"/>
    <x v="6"/>
    <s v="medium"/>
  </r>
  <r>
    <x v="933"/>
    <d v="2024-07-12T00:00:00"/>
    <x v="0"/>
    <s v="Wall Clock"/>
    <x v="5"/>
    <n v="5"/>
    <n v="3315.43"/>
    <n v="0"/>
    <x v="3"/>
    <x v="0"/>
    <x v="1"/>
    <n v="16577.150000000001"/>
    <x v="6"/>
    <s v="medium"/>
  </r>
  <r>
    <x v="934"/>
    <d v="2024-05-31T00:00:00"/>
    <x v="2"/>
    <s v="Diary"/>
    <x v="6"/>
    <n v="3"/>
    <n v="7909.06"/>
    <n v="0"/>
    <x v="3"/>
    <x v="1"/>
    <x v="0"/>
    <n v="23727.18"/>
    <x v="9"/>
    <s v="high"/>
  </r>
  <r>
    <x v="935"/>
    <d v="2024-07-11T00:00:00"/>
    <x v="4"/>
    <s v="Hair Oil"/>
    <x v="4"/>
    <n v="2"/>
    <n v="7512.82"/>
    <n v="0"/>
    <x v="2"/>
    <x v="4"/>
    <x v="1"/>
    <n v="15025.64"/>
    <x v="6"/>
    <s v="medium"/>
  </r>
  <r>
    <x v="936"/>
    <d v="2024-06-20T00:00:00"/>
    <x v="0"/>
    <s v="Cushion"/>
    <x v="5"/>
    <n v="1"/>
    <n v="2167.38"/>
    <n v="0.1"/>
    <x v="1"/>
    <x v="0"/>
    <x v="1"/>
    <n v="1950.6420000000001"/>
    <x v="11"/>
    <s v="low"/>
  </r>
  <r>
    <x v="937"/>
    <d v="2024-07-21T00:00:00"/>
    <x v="0"/>
    <s v="Table Lamp"/>
    <x v="3"/>
    <n v="5"/>
    <n v="5531.87"/>
    <n v="0.05"/>
    <x v="2"/>
    <x v="3"/>
    <x v="1"/>
    <n v="26276.38"/>
    <x v="6"/>
    <s v="high"/>
  </r>
  <r>
    <x v="938"/>
    <d v="2024-01-13T00:00:00"/>
    <x v="1"/>
    <s v="Jeans"/>
    <x v="1"/>
    <n v="3"/>
    <n v="5989.39"/>
    <n v="0.05"/>
    <x v="0"/>
    <x v="3"/>
    <x v="1"/>
    <n v="17069.759999999998"/>
    <x v="1"/>
    <s v="medium"/>
  </r>
  <r>
    <x v="939"/>
    <d v="2024-05-03T00:00:00"/>
    <x v="3"/>
    <s v="Smartwatch"/>
    <x v="7"/>
    <n v="4"/>
    <n v="7185.82"/>
    <n v="0.25"/>
    <x v="2"/>
    <x v="4"/>
    <x v="0"/>
    <n v="21557.46"/>
    <x v="9"/>
    <s v="high"/>
  </r>
  <r>
    <x v="940"/>
    <d v="2024-03-30T00:00:00"/>
    <x v="4"/>
    <s v="Lipstick"/>
    <x v="4"/>
    <n v="1"/>
    <n v="6544.3"/>
    <n v="0"/>
    <x v="2"/>
    <x v="1"/>
    <x v="1"/>
    <n v="6544.3"/>
    <x v="7"/>
    <s v="low"/>
  </r>
  <r>
    <x v="941"/>
    <d v="2024-09-01T00:00:00"/>
    <x v="1"/>
    <s v="T-Shirt"/>
    <x v="4"/>
    <n v="1"/>
    <n v="4478.47"/>
    <n v="0.25"/>
    <x v="0"/>
    <x v="0"/>
    <x v="1"/>
    <n v="3358.85"/>
    <x v="3"/>
    <s v="low"/>
  </r>
  <r>
    <x v="942"/>
    <d v="2024-06-30T00:00:00"/>
    <x v="2"/>
    <s v="Novel"/>
    <x v="1"/>
    <n v="1"/>
    <n v="3755.68"/>
    <n v="0.05"/>
    <x v="0"/>
    <x v="4"/>
    <x v="1"/>
    <n v="3567.9"/>
    <x v="11"/>
    <s v="low"/>
  </r>
  <r>
    <x v="943"/>
    <d v="2024-06-25T00:00:00"/>
    <x v="0"/>
    <s v="Bedsheet"/>
    <x v="5"/>
    <n v="6"/>
    <n v="1729.67"/>
    <n v="0.15"/>
    <x v="2"/>
    <x v="4"/>
    <x v="0"/>
    <n v="8821.32"/>
    <x v="11"/>
    <s v="low"/>
  </r>
  <r>
    <x v="944"/>
    <d v="2024-04-13T00:00:00"/>
    <x v="3"/>
    <s v="Phone Cover"/>
    <x v="0"/>
    <n v="2"/>
    <n v="2591.9"/>
    <n v="0"/>
    <x v="2"/>
    <x v="2"/>
    <x v="1"/>
    <n v="5183.8"/>
    <x v="8"/>
    <s v="low"/>
  </r>
  <r>
    <x v="945"/>
    <d v="2024-09-16T00:00:00"/>
    <x v="1"/>
    <s v="Handbag"/>
    <x v="4"/>
    <n v="1"/>
    <n v="1078.44"/>
    <n v="0.05"/>
    <x v="0"/>
    <x v="0"/>
    <x v="1"/>
    <n v="1024.52"/>
    <x v="3"/>
    <s v="low"/>
  </r>
  <r>
    <x v="946"/>
    <d v="2024-07-15T00:00:00"/>
    <x v="2"/>
    <s v="Comic"/>
    <x v="0"/>
    <n v="3"/>
    <n v="2092.41"/>
    <n v="0.2"/>
    <x v="0"/>
    <x v="3"/>
    <x v="1"/>
    <n v="5021.78"/>
    <x v="6"/>
    <s v="low"/>
  </r>
  <r>
    <x v="947"/>
    <d v="2024-07-14T00:00:00"/>
    <x v="1"/>
    <s v="Kurti"/>
    <x v="0"/>
    <n v="5"/>
    <n v="1610.33"/>
    <n v="0.2"/>
    <x v="0"/>
    <x v="0"/>
    <x v="1"/>
    <n v="6441.32"/>
    <x v="6"/>
    <s v="low"/>
  </r>
  <r>
    <x v="948"/>
    <d v="2024-11-06T00:00:00"/>
    <x v="4"/>
    <s v="Perfume"/>
    <x v="6"/>
    <n v="2"/>
    <n v="4050.22"/>
    <n v="0"/>
    <x v="2"/>
    <x v="0"/>
    <x v="1"/>
    <n v="8100.44"/>
    <x v="0"/>
    <s v="low"/>
  </r>
  <r>
    <x v="949"/>
    <d v="2024-06-14T00:00:00"/>
    <x v="0"/>
    <s v="Bedsheet"/>
    <x v="2"/>
    <n v="1"/>
    <n v="2879.62"/>
    <n v="0"/>
    <x v="0"/>
    <x v="3"/>
    <x v="1"/>
    <n v="2879.62"/>
    <x v="11"/>
    <s v="low"/>
  </r>
  <r>
    <x v="950"/>
    <d v="2024-12-05T00:00:00"/>
    <x v="0"/>
    <s v="Table Lamp"/>
    <x v="6"/>
    <n v="2"/>
    <n v="5010.3100000000004"/>
    <n v="0.25"/>
    <x v="0"/>
    <x v="2"/>
    <x v="1"/>
    <n v="7515.47"/>
    <x v="4"/>
    <s v="low"/>
  </r>
  <r>
    <x v="951"/>
    <d v="2024-11-20T00:00:00"/>
    <x v="4"/>
    <s v="Face Wash"/>
    <x v="2"/>
    <n v="1"/>
    <n v="870.16"/>
    <n v="0.1"/>
    <x v="3"/>
    <x v="2"/>
    <x v="1"/>
    <n v="783.14"/>
    <x v="0"/>
    <s v="low"/>
  </r>
  <r>
    <x v="952"/>
    <d v="2024-05-06T00:00:00"/>
    <x v="4"/>
    <s v="Hair Oil"/>
    <x v="5"/>
    <n v="5"/>
    <n v="5726.81"/>
    <n v="0.2"/>
    <x v="2"/>
    <x v="4"/>
    <x v="1"/>
    <n v="22907.24"/>
    <x v="9"/>
    <s v="high"/>
  </r>
  <r>
    <x v="953"/>
    <d v="2024-05-06T00:00:00"/>
    <x v="1"/>
    <s v="Sneakers"/>
    <x v="2"/>
    <n v="3"/>
    <n v="7555.24"/>
    <n v="0.25"/>
    <x v="2"/>
    <x v="2"/>
    <x v="1"/>
    <n v="16999.29"/>
    <x v="9"/>
    <s v="medium"/>
  </r>
  <r>
    <x v="954"/>
    <d v="2024-03-21T00:00:00"/>
    <x v="0"/>
    <s v="Cushion"/>
    <x v="3"/>
    <n v="6"/>
    <n v="5233.96"/>
    <n v="0.2"/>
    <x v="2"/>
    <x v="3"/>
    <x v="1"/>
    <n v="25123.01"/>
    <x v="7"/>
    <s v="high"/>
  </r>
  <r>
    <x v="955"/>
    <d v="2024-01-11T00:00:00"/>
    <x v="4"/>
    <s v="Perfume"/>
    <x v="5"/>
    <n v="1"/>
    <n v="3488.69"/>
    <n v="0.05"/>
    <x v="2"/>
    <x v="3"/>
    <x v="1"/>
    <n v="3314.26"/>
    <x v="1"/>
    <s v="low"/>
  </r>
  <r>
    <x v="956"/>
    <d v="2024-06-15T00:00:00"/>
    <x v="2"/>
    <s v="Notebook"/>
    <x v="0"/>
    <n v="3"/>
    <n v="422.29"/>
    <n v="0.1"/>
    <x v="0"/>
    <x v="1"/>
    <x v="1"/>
    <n v="1140.18"/>
    <x v="11"/>
    <s v="low"/>
  </r>
  <r>
    <x v="957"/>
    <d v="2024-03-05T00:00:00"/>
    <x v="0"/>
    <s v="Wall Clock"/>
    <x v="7"/>
    <n v="3"/>
    <n v="3004.09"/>
    <n v="0.2"/>
    <x v="3"/>
    <x v="1"/>
    <x v="1"/>
    <n v="7209.82"/>
    <x v="7"/>
    <s v="low"/>
  </r>
  <r>
    <x v="958"/>
    <d v="2024-05-25T00:00:00"/>
    <x v="3"/>
    <s v="Bluetooth Speaker"/>
    <x v="7"/>
    <n v="1"/>
    <n v="3760.96"/>
    <n v="0.1"/>
    <x v="2"/>
    <x v="1"/>
    <x v="1"/>
    <n v="3384.86"/>
    <x v="9"/>
    <s v="low"/>
  </r>
  <r>
    <x v="959"/>
    <d v="2024-10-07T00:00:00"/>
    <x v="2"/>
    <s v="Notebook"/>
    <x v="7"/>
    <n v="4"/>
    <n v="6142.96"/>
    <n v="0.1"/>
    <x v="0"/>
    <x v="1"/>
    <x v="1"/>
    <n v="22114.66"/>
    <x v="5"/>
    <s v="high"/>
  </r>
  <r>
    <x v="960"/>
    <d v="2024-09-17T00:00:00"/>
    <x v="1"/>
    <s v="Kurti"/>
    <x v="0"/>
    <n v="3"/>
    <n v="7243.16"/>
    <n v="0.05"/>
    <x v="0"/>
    <x v="0"/>
    <x v="0"/>
    <n v="20643.009999999998"/>
    <x v="3"/>
    <s v="high"/>
  </r>
  <r>
    <x v="961"/>
    <d v="2024-06-13T00:00:00"/>
    <x v="2"/>
    <s v="Notebook"/>
    <x v="4"/>
    <n v="6"/>
    <n v="4285.9799999999996"/>
    <n v="0.1"/>
    <x v="3"/>
    <x v="3"/>
    <x v="0"/>
    <n v="23144.29"/>
    <x v="11"/>
    <s v="high"/>
  </r>
  <r>
    <x v="962"/>
    <d v="2024-10-19T00:00:00"/>
    <x v="1"/>
    <s v="Sneakers"/>
    <x v="7"/>
    <n v="6"/>
    <n v="4845.8100000000004"/>
    <n v="0"/>
    <x v="1"/>
    <x v="1"/>
    <x v="1"/>
    <n v="29074.86"/>
    <x v="5"/>
    <s v="high"/>
  </r>
  <r>
    <x v="963"/>
    <d v="2024-09-27T00:00:00"/>
    <x v="1"/>
    <s v="Sneakers"/>
    <x v="0"/>
    <n v="4"/>
    <n v="1943.27"/>
    <n v="0.25"/>
    <x v="3"/>
    <x v="1"/>
    <x v="1"/>
    <n v="5829.81"/>
    <x v="3"/>
    <s v="low"/>
  </r>
  <r>
    <x v="964"/>
    <d v="2024-02-27T00:00:00"/>
    <x v="4"/>
    <s v="Sunscreen"/>
    <x v="1"/>
    <n v="6"/>
    <n v="719.52"/>
    <n v="0.25"/>
    <x v="0"/>
    <x v="0"/>
    <x v="1"/>
    <n v="3237.84"/>
    <x v="10"/>
    <s v="low"/>
  </r>
  <r>
    <x v="965"/>
    <d v="2024-03-07T00:00:00"/>
    <x v="3"/>
    <s v="Power Bank"/>
    <x v="7"/>
    <n v="4"/>
    <n v="7430.46"/>
    <n v="0.1"/>
    <x v="0"/>
    <x v="4"/>
    <x v="1"/>
    <n v="26749.66"/>
    <x v="7"/>
    <s v="high"/>
  </r>
  <r>
    <x v="966"/>
    <d v="2024-02-24T00:00:00"/>
    <x v="2"/>
    <s v="Notebook"/>
    <x v="1"/>
    <n v="5"/>
    <n v="3489.65"/>
    <n v="0.1"/>
    <x v="3"/>
    <x v="2"/>
    <x v="1"/>
    <n v="15703.43"/>
    <x v="10"/>
    <s v="medium"/>
  </r>
  <r>
    <x v="967"/>
    <d v="2024-01-30T00:00:00"/>
    <x v="2"/>
    <s v="Diary"/>
    <x v="5"/>
    <n v="3"/>
    <n v="979.15"/>
    <n v="0.25"/>
    <x v="0"/>
    <x v="2"/>
    <x v="1"/>
    <n v="2203.09"/>
    <x v="1"/>
    <s v="low"/>
  </r>
  <r>
    <x v="968"/>
    <d v="2024-01-21T00:00:00"/>
    <x v="3"/>
    <s v="Phone Cover"/>
    <x v="6"/>
    <n v="1"/>
    <n v="3943.45"/>
    <n v="0"/>
    <x v="2"/>
    <x v="0"/>
    <x v="0"/>
    <n v="3943.45"/>
    <x v="1"/>
    <s v="low"/>
  </r>
  <r>
    <x v="969"/>
    <d v="2024-07-08T00:00:00"/>
    <x v="4"/>
    <s v="Sunscreen"/>
    <x v="0"/>
    <n v="4"/>
    <n v="5864.03"/>
    <n v="0.25"/>
    <x v="0"/>
    <x v="0"/>
    <x v="1"/>
    <n v="17592.09"/>
    <x v="6"/>
    <s v="medium"/>
  </r>
  <r>
    <x v="970"/>
    <d v="2024-12-08T00:00:00"/>
    <x v="3"/>
    <s v="Smartwatch"/>
    <x v="7"/>
    <n v="1"/>
    <n v="1337.67"/>
    <n v="0.05"/>
    <x v="0"/>
    <x v="1"/>
    <x v="1"/>
    <n v="1270.79"/>
    <x v="4"/>
    <s v="low"/>
  </r>
  <r>
    <x v="971"/>
    <d v="2024-01-19T00:00:00"/>
    <x v="0"/>
    <s v="Bedsheet"/>
    <x v="2"/>
    <n v="1"/>
    <n v="1236.5"/>
    <n v="0"/>
    <x v="1"/>
    <x v="1"/>
    <x v="0"/>
    <n v="1236.5"/>
    <x v="1"/>
    <s v="low"/>
  </r>
  <r>
    <x v="972"/>
    <d v="2024-01-23T00:00:00"/>
    <x v="2"/>
    <s v="Guide Book"/>
    <x v="5"/>
    <n v="6"/>
    <n v="6452.16"/>
    <n v="0.2"/>
    <x v="0"/>
    <x v="4"/>
    <x v="1"/>
    <n v="30970.37"/>
    <x v="1"/>
    <s v="high"/>
  </r>
  <r>
    <x v="973"/>
    <d v="2024-05-16T00:00:00"/>
    <x v="0"/>
    <s v="Bedsheet"/>
    <x v="6"/>
    <n v="2"/>
    <n v="4287.4399999999996"/>
    <n v="0"/>
    <x v="0"/>
    <x v="1"/>
    <x v="1"/>
    <n v="8574.8799999999992"/>
    <x v="9"/>
    <s v="low"/>
  </r>
  <r>
    <x v="974"/>
    <d v="2024-06-02T00:00:00"/>
    <x v="4"/>
    <s v="Sunscreen"/>
    <x v="6"/>
    <n v="5"/>
    <n v="7951.93"/>
    <n v="0.1"/>
    <x v="0"/>
    <x v="2"/>
    <x v="0"/>
    <n v="35783.69"/>
    <x v="11"/>
    <s v="high"/>
  </r>
  <r>
    <x v="975"/>
    <d v="2024-10-08T00:00:00"/>
    <x v="4"/>
    <s v="Sunscreen"/>
    <x v="0"/>
    <n v="5"/>
    <n v="6204.44"/>
    <n v="0"/>
    <x v="3"/>
    <x v="4"/>
    <x v="0"/>
    <n v="31022.2"/>
    <x v="5"/>
    <s v="high"/>
  </r>
  <r>
    <x v="976"/>
    <d v="2024-06-01T00:00:00"/>
    <x v="4"/>
    <s v="Perfume"/>
    <x v="5"/>
    <n v="3"/>
    <n v="4840.75"/>
    <n v="0.1"/>
    <x v="2"/>
    <x v="2"/>
    <x v="1"/>
    <n v="13070.02"/>
    <x v="11"/>
    <s v="medium"/>
  </r>
  <r>
    <x v="977"/>
    <d v="2024-02-03T00:00:00"/>
    <x v="4"/>
    <s v="Sunscreen"/>
    <x v="1"/>
    <n v="5"/>
    <n v="3496.55"/>
    <n v="0.1"/>
    <x v="3"/>
    <x v="4"/>
    <x v="1"/>
    <n v="15734.48"/>
    <x v="10"/>
    <s v="medium"/>
  </r>
  <r>
    <x v="978"/>
    <d v="2024-04-01T00:00:00"/>
    <x v="4"/>
    <s v="Face Wash"/>
    <x v="7"/>
    <n v="5"/>
    <n v="6051.33"/>
    <n v="0.2"/>
    <x v="0"/>
    <x v="2"/>
    <x v="1"/>
    <n v="24205.32"/>
    <x v="8"/>
    <s v="high"/>
  </r>
  <r>
    <x v="979"/>
    <d v="2024-11-28T00:00:00"/>
    <x v="1"/>
    <s v="Kurti"/>
    <x v="5"/>
    <n v="3"/>
    <n v="4321.53"/>
    <n v="0.2"/>
    <x v="1"/>
    <x v="1"/>
    <x v="1"/>
    <n v="10371.67"/>
    <x v="0"/>
    <s v="medium"/>
  </r>
  <r>
    <x v="980"/>
    <d v="2024-09-14T00:00:00"/>
    <x v="3"/>
    <s v="Phone Cover"/>
    <x v="4"/>
    <n v="3"/>
    <n v="3993.38"/>
    <n v="0.25"/>
    <x v="3"/>
    <x v="3"/>
    <x v="1"/>
    <n v="8985.1"/>
    <x v="3"/>
    <s v="low"/>
  </r>
  <r>
    <x v="981"/>
    <d v="2024-04-28T00:00:00"/>
    <x v="2"/>
    <s v="Comic"/>
    <x v="6"/>
    <n v="2"/>
    <n v="7204.78"/>
    <n v="0.25"/>
    <x v="2"/>
    <x v="1"/>
    <x v="1"/>
    <n v="10807.17"/>
    <x v="8"/>
    <s v="medium"/>
  </r>
  <r>
    <x v="982"/>
    <d v="2024-02-25T00:00:00"/>
    <x v="1"/>
    <s v="Jeans"/>
    <x v="6"/>
    <n v="5"/>
    <n v="7808.24"/>
    <n v="0.1"/>
    <x v="0"/>
    <x v="0"/>
    <x v="1"/>
    <n v="35137.08"/>
    <x v="10"/>
    <s v="high"/>
  </r>
  <r>
    <x v="983"/>
    <d v="2024-10-04T00:00:00"/>
    <x v="3"/>
    <s v="Phone Cover"/>
    <x v="6"/>
    <n v="2"/>
    <n v="2020.28"/>
    <n v="0.15"/>
    <x v="0"/>
    <x v="2"/>
    <x v="1"/>
    <n v="3434.48"/>
    <x v="5"/>
    <s v="low"/>
  </r>
  <r>
    <x v="984"/>
    <d v="2024-01-13T00:00:00"/>
    <x v="0"/>
    <s v="Wall Clock"/>
    <x v="5"/>
    <n v="3"/>
    <n v="506.04"/>
    <n v="0"/>
    <x v="0"/>
    <x v="1"/>
    <x v="1"/>
    <n v="1518.12"/>
    <x v="1"/>
    <s v="low"/>
  </r>
  <r>
    <x v="985"/>
    <d v="2024-06-08T00:00:00"/>
    <x v="3"/>
    <s v="Power Bank"/>
    <x v="6"/>
    <n v="6"/>
    <n v="890.89"/>
    <n v="0.05"/>
    <x v="0"/>
    <x v="0"/>
    <x v="0"/>
    <n v="5078.07"/>
    <x v="11"/>
    <s v="low"/>
  </r>
  <r>
    <x v="986"/>
    <d v="2024-02-29T00:00:00"/>
    <x v="3"/>
    <s v="Bluetooth Speaker"/>
    <x v="5"/>
    <n v="6"/>
    <n v="2717.66"/>
    <n v="0.05"/>
    <x v="2"/>
    <x v="0"/>
    <x v="1"/>
    <n v="15490.66"/>
    <x v="10"/>
    <s v="medium"/>
  </r>
  <r>
    <x v="987"/>
    <d v="2024-06-07T00:00:00"/>
    <x v="1"/>
    <s v="Handbag"/>
    <x v="7"/>
    <n v="3"/>
    <n v="6946.6"/>
    <n v="0"/>
    <x v="0"/>
    <x v="4"/>
    <x v="1"/>
    <n v="20839.8"/>
    <x v="11"/>
    <s v="high"/>
  </r>
  <r>
    <x v="988"/>
    <d v="2024-03-21T00:00:00"/>
    <x v="1"/>
    <s v="Jeans"/>
    <x v="4"/>
    <n v="1"/>
    <n v="3726.26"/>
    <n v="0"/>
    <x v="0"/>
    <x v="2"/>
    <x v="1"/>
    <n v="3726.26"/>
    <x v="7"/>
    <s v="low"/>
  </r>
  <r>
    <x v="989"/>
    <d v="2024-10-11T00:00:00"/>
    <x v="0"/>
    <s v="Curtain"/>
    <x v="2"/>
    <n v="6"/>
    <n v="2706.34"/>
    <n v="0.2"/>
    <x v="0"/>
    <x v="2"/>
    <x v="1"/>
    <n v="12990.43"/>
    <x v="5"/>
    <s v="medium"/>
  </r>
  <r>
    <x v="990"/>
    <d v="2024-09-30T00:00:00"/>
    <x v="2"/>
    <s v="Diary"/>
    <x v="7"/>
    <n v="4"/>
    <n v="731.65"/>
    <n v="0.2"/>
    <x v="3"/>
    <x v="2"/>
    <x v="1"/>
    <n v="2341.2800000000002"/>
    <x v="3"/>
    <s v="low"/>
  </r>
  <r>
    <x v="991"/>
    <d v="2024-09-12T00:00:00"/>
    <x v="3"/>
    <s v="Smartwatch"/>
    <x v="6"/>
    <n v="6"/>
    <n v="6152.75"/>
    <n v="0.2"/>
    <x v="0"/>
    <x v="0"/>
    <x v="1"/>
    <n v="29533.200000000001"/>
    <x v="3"/>
    <s v="high"/>
  </r>
  <r>
    <x v="992"/>
    <d v="2024-01-25T00:00:00"/>
    <x v="4"/>
    <s v="Perfume"/>
    <x v="2"/>
    <n v="2"/>
    <n v="6796.24"/>
    <n v="0.15"/>
    <x v="0"/>
    <x v="1"/>
    <x v="1"/>
    <n v="11553.61"/>
    <x v="1"/>
    <s v="medium"/>
  </r>
  <r>
    <x v="993"/>
    <d v="2024-09-05T00:00:00"/>
    <x v="1"/>
    <s v="Handbag"/>
    <x v="7"/>
    <n v="1"/>
    <n v="2784.89"/>
    <n v="0"/>
    <x v="0"/>
    <x v="0"/>
    <x v="0"/>
    <n v="2784.89"/>
    <x v="3"/>
    <s v="low"/>
  </r>
  <r>
    <x v="994"/>
    <d v="2024-08-09T00:00:00"/>
    <x v="4"/>
    <s v="Hair Oil"/>
    <x v="7"/>
    <n v="1"/>
    <n v="283.52"/>
    <n v="0"/>
    <x v="1"/>
    <x v="1"/>
    <x v="1"/>
    <n v="283.52"/>
    <x v="2"/>
    <s v="low"/>
  </r>
  <r>
    <x v="995"/>
    <d v="2024-11-18T00:00:00"/>
    <x v="4"/>
    <s v="Face Wash"/>
    <x v="0"/>
    <n v="2"/>
    <n v="4678.59"/>
    <n v="0.15"/>
    <x v="0"/>
    <x v="4"/>
    <x v="1"/>
    <n v="7953.6"/>
    <x v="0"/>
    <s v="low"/>
  </r>
  <r>
    <x v="996"/>
    <d v="2024-04-11T00:00:00"/>
    <x v="1"/>
    <s v="T-Shirt"/>
    <x v="0"/>
    <n v="1"/>
    <n v="6966.19"/>
    <n v="0.15"/>
    <x v="0"/>
    <x v="4"/>
    <x v="1"/>
    <n v="5921.26"/>
    <x v="8"/>
    <s v="low"/>
  </r>
  <r>
    <x v="997"/>
    <d v="2024-03-26T00:00:00"/>
    <x v="1"/>
    <s v="T-Shirt"/>
    <x v="0"/>
    <n v="4"/>
    <n v="3776.96"/>
    <n v="0"/>
    <x v="0"/>
    <x v="1"/>
    <x v="0"/>
    <n v="15107.84"/>
    <x v="7"/>
    <s v="medium"/>
  </r>
  <r>
    <x v="998"/>
    <d v="2024-01-28T00:00:00"/>
    <x v="2"/>
    <s v="Comic"/>
    <x v="4"/>
    <n v="4"/>
    <n v="1467.63"/>
    <n v="0.05"/>
    <x v="3"/>
    <x v="4"/>
    <x v="1"/>
    <n v="5576.99"/>
    <x v="1"/>
    <s v="low"/>
  </r>
  <r>
    <x v="999"/>
    <d v="2024-08-24T00:00:00"/>
    <x v="4"/>
    <s v="Sunscreen"/>
    <x v="1"/>
    <n v="3"/>
    <n v="577.57000000000005"/>
    <n v="0.2"/>
    <x v="1"/>
    <x v="2"/>
    <x v="1"/>
    <n v="1386.17"/>
    <x v="2"/>
    <s v="low"/>
  </r>
  <r>
    <x v="1000"/>
    <d v="2024-02-22T00:00:00"/>
    <x v="1"/>
    <s v="T-Shirt"/>
    <x v="4"/>
    <n v="2"/>
    <n v="5760.87"/>
    <n v="0"/>
    <x v="2"/>
    <x v="2"/>
    <x v="1"/>
    <n v="11521.74"/>
    <x v="10"/>
    <s v="medium"/>
  </r>
  <r>
    <x v="1001"/>
    <d v="2024-09-04T00:00:00"/>
    <x v="0"/>
    <s v="Wall Clock"/>
    <x v="4"/>
    <n v="2"/>
    <n v="1543.41"/>
    <n v="0.1"/>
    <x v="2"/>
    <x v="4"/>
    <x v="1"/>
    <n v="2778.14"/>
    <x v="3"/>
    <s v="low"/>
  </r>
  <r>
    <x v="1002"/>
    <d v="2024-03-19T00:00:00"/>
    <x v="0"/>
    <s v="Table Lamp"/>
    <x v="4"/>
    <n v="3"/>
    <n v="6528.12"/>
    <n v="0"/>
    <x v="0"/>
    <x v="3"/>
    <x v="1"/>
    <n v="19584.36"/>
    <x v="7"/>
    <s v="medium"/>
  </r>
  <r>
    <x v="1003"/>
    <d v="2024-03-18T00:00:00"/>
    <x v="1"/>
    <s v="Jeans"/>
    <x v="3"/>
    <n v="3"/>
    <n v="3997.75"/>
    <n v="0.1"/>
    <x v="0"/>
    <x v="2"/>
    <x v="1"/>
    <n v="10793.93"/>
    <x v="7"/>
    <s v="medium"/>
  </r>
  <r>
    <x v="1004"/>
    <d v="2024-01-20T00:00:00"/>
    <x v="2"/>
    <s v="Guide Book"/>
    <x v="5"/>
    <n v="5"/>
    <n v="3488.18"/>
    <n v="0.1"/>
    <x v="3"/>
    <x v="3"/>
    <x v="1"/>
    <n v="15696.81"/>
    <x v="1"/>
    <s v="medium"/>
  </r>
  <r>
    <x v="1005"/>
    <d v="2024-08-10T00:00:00"/>
    <x v="0"/>
    <s v="Curtain"/>
    <x v="1"/>
    <n v="6"/>
    <n v="301.77999999999997"/>
    <n v="0.1"/>
    <x v="1"/>
    <x v="4"/>
    <x v="1"/>
    <n v="1629.61"/>
    <x v="2"/>
    <s v="low"/>
  </r>
  <r>
    <x v="1006"/>
    <d v="2024-08-28T00:00:00"/>
    <x v="2"/>
    <s v="Notebook"/>
    <x v="7"/>
    <n v="3"/>
    <n v="3571.7"/>
    <n v="0.1"/>
    <x v="0"/>
    <x v="4"/>
    <x v="0"/>
    <n v="9643.59"/>
    <x v="2"/>
    <s v="low"/>
  </r>
  <r>
    <x v="1007"/>
    <d v="2024-03-06T00:00:00"/>
    <x v="1"/>
    <s v="Handbag"/>
    <x v="1"/>
    <n v="5"/>
    <n v="2163.9699999999998"/>
    <n v="0.1"/>
    <x v="3"/>
    <x v="2"/>
    <x v="0"/>
    <n v="9737.86"/>
    <x v="7"/>
    <s v="low"/>
  </r>
  <r>
    <x v="1008"/>
    <d v="2024-01-17T00:00:00"/>
    <x v="0"/>
    <s v="Table Lamp"/>
    <x v="0"/>
    <n v="4"/>
    <n v="4703.79"/>
    <n v="0.1"/>
    <x v="1"/>
    <x v="4"/>
    <x v="1"/>
    <n v="16933.64"/>
    <x v="1"/>
    <s v="medium"/>
  </r>
  <r>
    <x v="1009"/>
    <d v="2024-10-13T00:00:00"/>
    <x v="1"/>
    <s v="Jeans"/>
    <x v="5"/>
    <n v="6"/>
    <n v="5380.66"/>
    <n v="0.25"/>
    <x v="1"/>
    <x v="4"/>
    <x v="1"/>
    <n v="24212.97"/>
    <x v="5"/>
    <s v="high"/>
  </r>
  <r>
    <x v="1010"/>
    <d v="2024-12-01T00:00:00"/>
    <x v="2"/>
    <s v="Notebook"/>
    <x v="3"/>
    <n v="1"/>
    <n v="6609.63"/>
    <n v="0.25"/>
    <x v="0"/>
    <x v="4"/>
    <x v="0"/>
    <n v="4957.22"/>
    <x v="4"/>
    <s v="low"/>
  </r>
  <r>
    <x v="1011"/>
    <d v="2024-04-12T00:00:00"/>
    <x v="3"/>
    <s v="Earbuds"/>
    <x v="5"/>
    <n v="2"/>
    <n v="6399.1"/>
    <n v="0"/>
    <x v="0"/>
    <x v="4"/>
    <x v="1"/>
    <n v="12798.2"/>
    <x v="8"/>
    <s v="medium"/>
  </r>
  <r>
    <x v="1012"/>
    <d v="2024-12-29T00:00:00"/>
    <x v="3"/>
    <s v="Earbuds"/>
    <x v="2"/>
    <n v="5"/>
    <n v="2444.89"/>
    <n v="0.25"/>
    <x v="2"/>
    <x v="4"/>
    <x v="0"/>
    <n v="9168.34"/>
    <x v="4"/>
    <s v="low"/>
  </r>
  <r>
    <x v="1013"/>
    <d v="2024-08-09T00:00:00"/>
    <x v="2"/>
    <s v="Guide Book"/>
    <x v="6"/>
    <n v="3"/>
    <n v="5795.82"/>
    <n v="0.15"/>
    <x v="0"/>
    <x v="4"/>
    <x v="1"/>
    <n v="14779.34"/>
    <x v="2"/>
    <s v="medium"/>
  </r>
  <r>
    <x v="1014"/>
    <d v="2024-12-03T00:00:00"/>
    <x v="1"/>
    <s v="T-Shirt"/>
    <x v="6"/>
    <n v="1"/>
    <n v="566.46"/>
    <n v="0"/>
    <x v="1"/>
    <x v="3"/>
    <x v="0"/>
    <n v="566.46"/>
    <x v="4"/>
    <s v="low"/>
  </r>
  <r>
    <x v="1015"/>
    <d v="2024-02-10T00:00:00"/>
    <x v="3"/>
    <s v="Bluetooth Speaker"/>
    <x v="4"/>
    <n v="1"/>
    <n v="6639.11"/>
    <n v="0"/>
    <x v="0"/>
    <x v="2"/>
    <x v="1"/>
    <n v="6639.11"/>
    <x v="10"/>
    <s v="low"/>
  </r>
  <r>
    <x v="1016"/>
    <d v="2024-12-31T00:00:00"/>
    <x v="3"/>
    <s v="Power Bank"/>
    <x v="6"/>
    <n v="5"/>
    <n v="2242.09"/>
    <n v="0.25"/>
    <x v="0"/>
    <x v="0"/>
    <x v="1"/>
    <n v="8407.84"/>
    <x v="4"/>
    <s v="low"/>
  </r>
  <r>
    <x v="1017"/>
    <d v="2024-10-06T00:00:00"/>
    <x v="4"/>
    <s v="Face Wash"/>
    <x v="1"/>
    <n v="5"/>
    <n v="2780.04"/>
    <n v="0.1"/>
    <x v="0"/>
    <x v="0"/>
    <x v="1"/>
    <n v="12510.18"/>
    <x v="5"/>
    <s v="medium"/>
  </r>
  <r>
    <x v="1018"/>
    <d v="2024-12-27T00:00:00"/>
    <x v="4"/>
    <s v="Lipstick"/>
    <x v="4"/>
    <n v="1"/>
    <n v="5513.97"/>
    <n v="0"/>
    <x v="0"/>
    <x v="2"/>
    <x v="0"/>
    <n v="5513.97"/>
    <x v="4"/>
    <s v="low"/>
  </r>
  <r>
    <x v="1019"/>
    <d v="2024-04-05T00:00:00"/>
    <x v="3"/>
    <s v="Power Bank"/>
    <x v="6"/>
    <n v="4"/>
    <n v="4092.66"/>
    <n v="0.1"/>
    <x v="2"/>
    <x v="3"/>
    <x v="1"/>
    <n v="14733.58"/>
    <x v="8"/>
    <s v="medium"/>
  </r>
  <r>
    <x v="1020"/>
    <d v="2024-10-23T00:00:00"/>
    <x v="3"/>
    <s v="Earbuds"/>
    <x v="0"/>
    <n v="4"/>
    <n v="7699.36"/>
    <n v="0.1"/>
    <x v="0"/>
    <x v="4"/>
    <x v="1"/>
    <n v="27717.7"/>
    <x v="5"/>
    <s v="high"/>
  </r>
  <r>
    <x v="1021"/>
    <d v="2024-09-08T00:00:00"/>
    <x v="0"/>
    <s v="Bedsheet"/>
    <x v="6"/>
    <n v="1"/>
    <n v="1729.5"/>
    <n v="0.25"/>
    <x v="0"/>
    <x v="4"/>
    <x v="1"/>
    <n v="1297.1199999999999"/>
    <x v="3"/>
    <s v="low"/>
  </r>
  <r>
    <x v="1022"/>
    <d v="2024-10-06T00:00:00"/>
    <x v="3"/>
    <s v="Smartwatch"/>
    <x v="7"/>
    <n v="1"/>
    <n v="7165.33"/>
    <n v="0.1"/>
    <x v="1"/>
    <x v="4"/>
    <x v="1"/>
    <n v="6448.8"/>
    <x v="5"/>
    <s v="low"/>
  </r>
  <r>
    <x v="1023"/>
    <d v="2024-04-02T00:00:00"/>
    <x v="4"/>
    <s v="Face Wash"/>
    <x v="1"/>
    <n v="2"/>
    <n v="5071.8900000000003"/>
    <n v="0.25"/>
    <x v="0"/>
    <x v="0"/>
    <x v="1"/>
    <n v="7607.84"/>
    <x v="8"/>
    <s v="low"/>
  </r>
  <r>
    <x v="1024"/>
    <d v="2024-06-23T00:00:00"/>
    <x v="4"/>
    <s v="Sunscreen"/>
    <x v="0"/>
    <n v="4"/>
    <n v="5042.3599999999997"/>
    <n v="0.1"/>
    <x v="3"/>
    <x v="1"/>
    <x v="1"/>
    <n v="18152.5"/>
    <x v="11"/>
    <s v="medium"/>
  </r>
  <r>
    <x v="1025"/>
    <d v="2024-09-05T00:00:00"/>
    <x v="0"/>
    <s v="Cushion"/>
    <x v="0"/>
    <n v="3"/>
    <n v="6958.05"/>
    <n v="0.05"/>
    <x v="0"/>
    <x v="0"/>
    <x v="1"/>
    <n v="19830.439999999999"/>
    <x v="3"/>
    <s v="medium"/>
  </r>
  <r>
    <x v="1026"/>
    <d v="2024-06-05T00:00:00"/>
    <x v="4"/>
    <s v="Hair Oil"/>
    <x v="6"/>
    <n v="1"/>
    <n v="1229.2"/>
    <n v="0.2"/>
    <x v="2"/>
    <x v="0"/>
    <x v="0"/>
    <n v="983.36"/>
    <x v="11"/>
    <s v="low"/>
  </r>
  <r>
    <x v="1027"/>
    <d v="2024-05-17T00:00:00"/>
    <x v="4"/>
    <s v="Hair Oil"/>
    <x v="0"/>
    <n v="6"/>
    <n v="4354.05"/>
    <n v="0.1"/>
    <x v="1"/>
    <x v="3"/>
    <x v="1"/>
    <n v="23511.87"/>
    <x v="9"/>
    <s v="high"/>
  </r>
  <r>
    <x v="1028"/>
    <d v="2024-12-20T00:00:00"/>
    <x v="1"/>
    <s v="Sneakers"/>
    <x v="1"/>
    <n v="4"/>
    <n v="1191.95"/>
    <n v="0.15"/>
    <x v="0"/>
    <x v="1"/>
    <x v="1"/>
    <n v="4052.63"/>
    <x v="4"/>
    <s v="low"/>
  </r>
  <r>
    <x v="1029"/>
    <d v="2024-11-01T00:00:00"/>
    <x v="2"/>
    <s v="Diary"/>
    <x v="4"/>
    <n v="3"/>
    <n v="3155.56"/>
    <n v="0.1"/>
    <x v="1"/>
    <x v="2"/>
    <x v="1"/>
    <n v="8520.01"/>
    <x v="0"/>
    <s v="low"/>
  </r>
  <r>
    <x v="1030"/>
    <d v="2024-07-20T00:00:00"/>
    <x v="2"/>
    <s v="Novel"/>
    <x v="6"/>
    <n v="1"/>
    <n v="7862.46"/>
    <n v="0.25"/>
    <x v="2"/>
    <x v="1"/>
    <x v="1"/>
    <n v="5896.85"/>
    <x v="6"/>
    <s v="low"/>
  </r>
  <r>
    <x v="1031"/>
    <d v="2024-06-02T00:00:00"/>
    <x v="1"/>
    <s v="Handbag"/>
    <x v="3"/>
    <n v="1"/>
    <n v="1375.18"/>
    <n v="0"/>
    <x v="0"/>
    <x v="1"/>
    <x v="1"/>
    <n v="1375.18"/>
    <x v="11"/>
    <s v="low"/>
  </r>
  <r>
    <x v="1032"/>
    <d v="2024-03-01T00:00:00"/>
    <x v="4"/>
    <s v="Sunscreen"/>
    <x v="4"/>
    <n v="4"/>
    <n v="1384.66"/>
    <n v="0"/>
    <x v="0"/>
    <x v="1"/>
    <x v="0"/>
    <n v="5538.64"/>
    <x v="7"/>
    <s v="low"/>
  </r>
  <r>
    <x v="1033"/>
    <d v="2024-06-13T00:00:00"/>
    <x v="1"/>
    <s v="T-Shirt"/>
    <x v="5"/>
    <n v="1"/>
    <n v="5415.1"/>
    <n v="0.1"/>
    <x v="0"/>
    <x v="4"/>
    <x v="1"/>
    <n v="4873.59"/>
    <x v="11"/>
    <s v="low"/>
  </r>
  <r>
    <x v="1034"/>
    <d v="2024-06-09T00:00:00"/>
    <x v="3"/>
    <s v="Earbuds"/>
    <x v="4"/>
    <n v="4"/>
    <n v="7206.62"/>
    <n v="0.1"/>
    <x v="1"/>
    <x v="0"/>
    <x v="1"/>
    <n v="25943.83"/>
    <x v="11"/>
    <s v="high"/>
  </r>
  <r>
    <x v="1035"/>
    <d v="2024-12-21T00:00:00"/>
    <x v="2"/>
    <s v="Novel"/>
    <x v="1"/>
    <n v="2"/>
    <n v="3642.13"/>
    <n v="0.25"/>
    <x v="1"/>
    <x v="2"/>
    <x v="1"/>
    <n v="5463.19"/>
    <x v="4"/>
    <s v="low"/>
  </r>
  <r>
    <x v="1036"/>
    <d v="2024-01-07T00:00:00"/>
    <x v="4"/>
    <s v="Face Wash"/>
    <x v="4"/>
    <n v="3"/>
    <n v="601.30999999999995"/>
    <n v="0.1"/>
    <x v="2"/>
    <x v="1"/>
    <x v="1"/>
    <n v="1623.54"/>
    <x v="1"/>
    <s v="low"/>
  </r>
  <r>
    <x v="1037"/>
    <d v="2024-04-09T00:00:00"/>
    <x v="4"/>
    <s v="Sunscreen"/>
    <x v="5"/>
    <n v="1"/>
    <n v="3620.72"/>
    <n v="0.15"/>
    <x v="2"/>
    <x v="0"/>
    <x v="1"/>
    <n v="3077.61"/>
    <x v="8"/>
    <s v="low"/>
  </r>
  <r>
    <x v="1038"/>
    <d v="2024-12-14T00:00:00"/>
    <x v="2"/>
    <s v="Guide Book"/>
    <x v="3"/>
    <n v="4"/>
    <n v="2729.83"/>
    <n v="0.1"/>
    <x v="2"/>
    <x v="0"/>
    <x v="0"/>
    <n v="9827.39"/>
    <x v="4"/>
    <s v="low"/>
  </r>
  <r>
    <x v="1039"/>
    <d v="2024-05-31T00:00:00"/>
    <x v="2"/>
    <s v="Guide Book"/>
    <x v="7"/>
    <n v="1"/>
    <n v="6042.73"/>
    <n v="0"/>
    <x v="2"/>
    <x v="1"/>
    <x v="1"/>
    <n v="6042.73"/>
    <x v="9"/>
    <s v="low"/>
  </r>
  <r>
    <x v="1040"/>
    <d v="2024-03-22T00:00:00"/>
    <x v="2"/>
    <s v="Notebook"/>
    <x v="6"/>
    <n v="4"/>
    <n v="2149.64"/>
    <n v="0.2"/>
    <x v="0"/>
    <x v="1"/>
    <x v="1"/>
    <n v="6878.85"/>
    <x v="7"/>
    <s v="low"/>
  </r>
  <r>
    <x v="1041"/>
    <d v="2024-04-07T00:00:00"/>
    <x v="4"/>
    <s v="Perfume"/>
    <x v="7"/>
    <n v="4"/>
    <n v="7337.5"/>
    <n v="0"/>
    <x v="3"/>
    <x v="0"/>
    <x v="1"/>
    <n v="29350"/>
    <x v="8"/>
    <s v="high"/>
  </r>
  <r>
    <x v="1042"/>
    <d v="2024-05-31T00:00:00"/>
    <x v="1"/>
    <s v="Jeans"/>
    <x v="2"/>
    <n v="4"/>
    <n v="2047.72"/>
    <n v="0"/>
    <x v="1"/>
    <x v="1"/>
    <x v="0"/>
    <n v="8190.88"/>
    <x v="9"/>
    <s v="low"/>
  </r>
  <r>
    <x v="1043"/>
    <d v="2024-11-21T00:00:00"/>
    <x v="3"/>
    <s v="Power Bank"/>
    <x v="3"/>
    <n v="2"/>
    <n v="2441.16"/>
    <n v="0.15"/>
    <x v="1"/>
    <x v="2"/>
    <x v="0"/>
    <n v="4149.97"/>
    <x v="0"/>
    <s v="low"/>
  </r>
  <r>
    <x v="1044"/>
    <d v="2024-10-16T00:00:00"/>
    <x v="0"/>
    <s v="Wall Clock"/>
    <x v="0"/>
    <n v="6"/>
    <n v="1075.74"/>
    <n v="0"/>
    <x v="0"/>
    <x v="2"/>
    <x v="1"/>
    <n v="6454.44"/>
    <x v="5"/>
    <s v="low"/>
  </r>
  <r>
    <x v="1045"/>
    <d v="2024-12-19T00:00:00"/>
    <x v="2"/>
    <s v="Diary"/>
    <x v="5"/>
    <n v="1"/>
    <n v="577.75"/>
    <n v="0.1"/>
    <x v="0"/>
    <x v="0"/>
    <x v="1"/>
    <n v="519.98"/>
    <x v="4"/>
    <s v="low"/>
  </r>
  <r>
    <x v="1046"/>
    <d v="2024-08-02T00:00:00"/>
    <x v="3"/>
    <s v="Earbuds"/>
    <x v="2"/>
    <n v="3"/>
    <n v="4449.0200000000004"/>
    <n v="0.1"/>
    <x v="0"/>
    <x v="0"/>
    <x v="1"/>
    <n v="12012.35"/>
    <x v="2"/>
    <s v="medium"/>
  </r>
  <r>
    <x v="1047"/>
    <d v="2024-06-13T00:00:00"/>
    <x v="0"/>
    <s v="Table Lamp"/>
    <x v="1"/>
    <n v="3"/>
    <n v="5969.1"/>
    <n v="0"/>
    <x v="2"/>
    <x v="4"/>
    <x v="1"/>
    <n v="17907.3"/>
    <x v="11"/>
    <s v="medium"/>
  </r>
  <r>
    <x v="1048"/>
    <d v="2024-12-10T00:00:00"/>
    <x v="1"/>
    <s v="T-Shirt"/>
    <x v="3"/>
    <n v="5"/>
    <n v="3317.63"/>
    <n v="0.05"/>
    <x v="1"/>
    <x v="1"/>
    <x v="1"/>
    <n v="15758.74"/>
    <x v="4"/>
    <s v="medium"/>
  </r>
  <r>
    <x v="1049"/>
    <d v="2024-08-22T00:00:00"/>
    <x v="3"/>
    <s v="Power Bank"/>
    <x v="2"/>
    <n v="4"/>
    <n v="4816.82"/>
    <n v="0.15"/>
    <x v="0"/>
    <x v="0"/>
    <x v="1"/>
    <n v="16377.19"/>
    <x v="2"/>
    <s v="medium"/>
  </r>
  <r>
    <x v="1050"/>
    <d v="2024-10-12T00:00:00"/>
    <x v="1"/>
    <s v="Kurti"/>
    <x v="1"/>
    <n v="4"/>
    <n v="5622.4"/>
    <n v="0"/>
    <x v="0"/>
    <x v="2"/>
    <x v="1"/>
    <n v="22489.599999999999"/>
    <x v="5"/>
    <s v="high"/>
  </r>
  <r>
    <x v="1051"/>
    <d v="2024-11-02T00:00:00"/>
    <x v="1"/>
    <s v="Handbag"/>
    <x v="3"/>
    <n v="2"/>
    <n v="2320.3000000000002"/>
    <n v="0.15"/>
    <x v="0"/>
    <x v="4"/>
    <x v="0"/>
    <n v="3944.51"/>
    <x v="0"/>
    <s v="low"/>
  </r>
  <r>
    <x v="1052"/>
    <d v="2024-04-28T00:00:00"/>
    <x v="1"/>
    <s v="Sneakers"/>
    <x v="1"/>
    <n v="1"/>
    <n v="5684.12"/>
    <n v="0.25"/>
    <x v="3"/>
    <x v="3"/>
    <x v="1"/>
    <n v="4263.09"/>
    <x v="8"/>
    <s v="low"/>
  </r>
  <r>
    <x v="1053"/>
    <d v="2024-11-03T00:00:00"/>
    <x v="0"/>
    <s v="Wall Clock"/>
    <x v="7"/>
    <n v="2"/>
    <n v="3952.33"/>
    <n v="0.25"/>
    <x v="0"/>
    <x v="1"/>
    <x v="1"/>
    <n v="5928.49"/>
    <x v="0"/>
    <s v="low"/>
  </r>
  <r>
    <x v="1054"/>
    <d v="2024-10-24T00:00:00"/>
    <x v="3"/>
    <s v="Smartwatch"/>
    <x v="6"/>
    <n v="6"/>
    <n v="1676.76"/>
    <n v="0.25"/>
    <x v="2"/>
    <x v="0"/>
    <x v="0"/>
    <n v="7545.42"/>
    <x v="5"/>
    <s v="low"/>
  </r>
  <r>
    <x v="1055"/>
    <d v="2024-06-02T00:00:00"/>
    <x v="4"/>
    <s v="Lipstick"/>
    <x v="1"/>
    <n v="2"/>
    <n v="1366.58"/>
    <n v="0.05"/>
    <x v="2"/>
    <x v="4"/>
    <x v="1"/>
    <n v="2596.5"/>
    <x v="11"/>
    <s v="low"/>
  </r>
  <r>
    <x v="1056"/>
    <d v="2024-03-30T00:00:00"/>
    <x v="4"/>
    <s v="Face Wash"/>
    <x v="4"/>
    <n v="3"/>
    <n v="3140.21"/>
    <n v="0.1"/>
    <x v="0"/>
    <x v="2"/>
    <x v="1"/>
    <n v="8478.57"/>
    <x v="7"/>
    <s v="low"/>
  </r>
  <r>
    <x v="1057"/>
    <d v="2024-03-20T00:00:00"/>
    <x v="4"/>
    <s v="Lipstick"/>
    <x v="3"/>
    <n v="3"/>
    <n v="7731.78"/>
    <n v="0"/>
    <x v="1"/>
    <x v="4"/>
    <x v="0"/>
    <n v="23195.34"/>
    <x v="7"/>
    <s v="high"/>
  </r>
  <r>
    <x v="1058"/>
    <d v="2024-02-21T00:00:00"/>
    <x v="1"/>
    <s v="Sneakers"/>
    <x v="5"/>
    <n v="2"/>
    <n v="4780.33"/>
    <n v="0.25"/>
    <x v="0"/>
    <x v="1"/>
    <x v="1"/>
    <n v="7170.4949999999999"/>
    <x v="10"/>
    <s v="low"/>
  </r>
  <r>
    <x v="1059"/>
    <d v="2024-05-17T00:00:00"/>
    <x v="0"/>
    <s v="Wall Clock"/>
    <x v="0"/>
    <n v="4"/>
    <n v="3054.44"/>
    <n v="0.05"/>
    <x v="0"/>
    <x v="2"/>
    <x v="1"/>
    <n v="11606.87"/>
    <x v="9"/>
    <s v="medium"/>
  </r>
  <r>
    <x v="1060"/>
    <d v="2024-03-20T00:00:00"/>
    <x v="4"/>
    <s v="Face Wash"/>
    <x v="2"/>
    <n v="4"/>
    <n v="6394.9"/>
    <n v="0.1"/>
    <x v="2"/>
    <x v="3"/>
    <x v="1"/>
    <n v="23021.64"/>
    <x v="7"/>
    <s v="high"/>
  </r>
  <r>
    <x v="1061"/>
    <d v="2024-12-08T00:00:00"/>
    <x v="1"/>
    <s v="Handbag"/>
    <x v="3"/>
    <n v="4"/>
    <n v="3182.52"/>
    <n v="0.2"/>
    <x v="0"/>
    <x v="4"/>
    <x v="1"/>
    <n v="10184.06"/>
    <x v="4"/>
    <s v="medium"/>
  </r>
  <r>
    <x v="1062"/>
    <d v="2024-01-17T00:00:00"/>
    <x v="4"/>
    <s v="Sunscreen"/>
    <x v="6"/>
    <n v="5"/>
    <n v="6399.61"/>
    <n v="0.1"/>
    <x v="0"/>
    <x v="2"/>
    <x v="0"/>
    <n v="28798.240000000002"/>
    <x v="1"/>
    <s v="high"/>
  </r>
  <r>
    <x v="1063"/>
    <d v="2024-10-31T00:00:00"/>
    <x v="1"/>
    <s v="T-Shirt"/>
    <x v="2"/>
    <n v="4"/>
    <n v="253.08"/>
    <n v="0.15"/>
    <x v="1"/>
    <x v="1"/>
    <x v="1"/>
    <n v="860.47"/>
    <x v="5"/>
    <s v="low"/>
  </r>
  <r>
    <x v="1064"/>
    <d v="2024-03-18T00:00:00"/>
    <x v="2"/>
    <s v="Guide Book"/>
    <x v="4"/>
    <n v="5"/>
    <n v="1883.75"/>
    <n v="0"/>
    <x v="0"/>
    <x v="1"/>
    <x v="0"/>
    <n v="9418.75"/>
    <x v="7"/>
    <s v="low"/>
  </r>
  <r>
    <x v="1065"/>
    <d v="2024-06-06T00:00:00"/>
    <x v="3"/>
    <s v="Bluetooth Speaker"/>
    <x v="1"/>
    <n v="3"/>
    <n v="5310.87"/>
    <n v="0.05"/>
    <x v="2"/>
    <x v="4"/>
    <x v="1"/>
    <n v="15135.98"/>
    <x v="11"/>
    <s v="medium"/>
  </r>
  <r>
    <x v="1066"/>
    <d v="2024-07-09T00:00:00"/>
    <x v="4"/>
    <s v="Face Wash"/>
    <x v="4"/>
    <n v="3"/>
    <n v="6843.88"/>
    <n v="0.2"/>
    <x v="0"/>
    <x v="2"/>
    <x v="1"/>
    <n v="16425.310000000001"/>
    <x v="6"/>
    <s v="medium"/>
  </r>
  <r>
    <x v="1067"/>
    <d v="2024-02-08T00:00:00"/>
    <x v="0"/>
    <s v="Bedsheet"/>
    <x v="2"/>
    <n v="2"/>
    <n v="2322.0100000000002"/>
    <n v="0.1"/>
    <x v="0"/>
    <x v="2"/>
    <x v="1"/>
    <n v="4179.62"/>
    <x v="10"/>
    <s v="low"/>
  </r>
  <r>
    <x v="1068"/>
    <d v="2024-12-18T00:00:00"/>
    <x v="3"/>
    <s v="Power Bank"/>
    <x v="0"/>
    <n v="6"/>
    <n v="6109.74"/>
    <n v="0.1"/>
    <x v="0"/>
    <x v="3"/>
    <x v="0"/>
    <n v="32992.6"/>
    <x v="4"/>
    <s v="high"/>
  </r>
  <r>
    <x v="1069"/>
    <d v="2024-06-22T00:00:00"/>
    <x v="4"/>
    <s v="Hair Oil"/>
    <x v="6"/>
    <n v="5"/>
    <n v="2430.6799999999998"/>
    <n v="0.25"/>
    <x v="2"/>
    <x v="2"/>
    <x v="1"/>
    <n v="9115.0499999999993"/>
    <x v="11"/>
    <s v="low"/>
  </r>
  <r>
    <x v="1070"/>
    <d v="2024-05-31T00:00:00"/>
    <x v="1"/>
    <s v="Jeans"/>
    <x v="4"/>
    <n v="2"/>
    <n v="1298.45"/>
    <n v="0.15"/>
    <x v="0"/>
    <x v="2"/>
    <x v="0"/>
    <n v="2207.37"/>
    <x v="9"/>
    <s v="low"/>
  </r>
  <r>
    <x v="1071"/>
    <d v="2024-07-04T00:00:00"/>
    <x v="3"/>
    <s v="Power Bank"/>
    <x v="3"/>
    <n v="3"/>
    <n v="1542.62"/>
    <n v="0.1"/>
    <x v="1"/>
    <x v="0"/>
    <x v="1"/>
    <n v="4165.07"/>
    <x v="6"/>
    <s v="low"/>
  </r>
  <r>
    <x v="1072"/>
    <d v="2024-11-11T00:00:00"/>
    <x v="1"/>
    <s v="T-Shirt"/>
    <x v="0"/>
    <n v="6"/>
    <n v="5472.87"/>
    <n v="0.25"/>
    <x v="1"/>
    <x v="3"/>
    <x v="0"/>
    <n v="24627.919999999998"/>
    <x v="0"/>
    <s v="high"/>
  </r>
  <r>
    <x v="1073"/>
    <d v="2024-07-26T00:00:00"/>
    <x v="1"/>
    <s v="Sneakers"/>
    <x v="3"/>
    <n v="5"/>
    <n v="5017.53"/>
    <n v="0.1"/>
    <x v="0"/>
    <x v="0"/>
    <x v="0"/>
    <n v="22578.880000000001"/>
    <x v="6"/>
    <s v="high"/>
  </r>
  <r>
    <x v="1074"/>
    <d v="2024-04-27T00:00:00"/>
    <x v="2"/>
    <s v="Notebook"/>
    <x v="4"/>
    <n v="1"/>
    <n v="487.12"/>
    <n v="0"/>
    <x v="1"/>
    <x v="2"/>
    <x v="1"/>
    <n v="487.12"/>
    <x v="8"/>
    <s v="low"/>
  </r>
  <r>
    <x v="1075"/>
    <d v="2024-06-16T00:00:00"/>
    <x v="4"/>
    <s v="Sunscreen"/>
    <x v="2"/>
    <n v="2"/>
    <n v="3549.77"/>
    <n v="0.1"/>
    <x v="3"/>
    <x v="2"/>
    <x v="1"/>
    <n v="6389.59"/>
    <x v="11"/>
    <s v="low"/>
  </r>
  <r>
    <x v="1076"/>
    <d v="2024-04-30T00:00:00"/>
    <x v="4"/>
    <s v="Sunscreen"/>
    <x v="0"/>
    <n v="6"/>
    <n v="2728.01"/>
    <n v="0.1"/>
    <x v="0"/>
    <x v="3"/>
    <x v="1"/>
    <n v="14731.25"/>
    <x v="8"/>
    <s v="medium"/>
  </r>
  <r>
    <x v="1077"/>
    <d v="2024-07-26T00:00:00"/>
    <x v="0"/>
    <s v="Table Lamp"/>
    <x v="2"/>
    <n v="6"/>
    <n v="2208.5300000000002"/>
    <n v="0.2"/>
    <x v="0"/>
    <x v="3"/>
    <x v="0"/>
    <n v="10600.94"/>
    <x v="6"/>
    <s v="medium"/>
  </r>
  <r>
    <x v="1078"/>
    <d v="2024-11-15T00:00:00"/>
    <x v="2"/>
    <s v="Novel"/>
    <x v="2"/>
    <n v="2"/>
    <n v="2397.73"/>
    <n v="0.2"/>
    <x v="0"/>
    <x v="0"/>
    <x v="0"/>
    <n v="3836.37"/>
    <x v="0"/>
    <s v="low"/>
  </r>
  <r>
    <x v="1079"/>
    <d v="2024-11-03T00:00:00"/>
    <x v="2"/>
    <s v="Diary"/>
    <x v="1"/>
    <n v="4"/>
    <n v="1806.36"/>
    <n v="0.2"/>
    <x v="1"/>
    <x v="2"/>
    <x v="0"/>
    <n v="5780.35"/>
    <x v="0"/>
    <s v="low"/>
  </r>
  <r>
    <x v="1080"/>
    <d v="2024-06-18T00:00:00"/>
    <x v="1"/>
    <s v="Jeans"/>
    <x v="0"/>
    <n v="2"/>
    <n v="6796.69"/>
    <n v="0.1"/>
    <x v="0"/>
    <x v="1"/>
    <x v="0"/>
    <n v="12234.04"/>
    <x v="11"/>
    <s v="medium"/>
  </r>
  <r>
    <x v="1081"/>
    <d v="2024-08-09T00:00:00"/>
    <x v="3"/>
    <s v="Bluetooth Speaker"/>
    <x v="3"/>
    <n v="6"/>
    <n v="2159.48"/>
    <n v="0.05"/>
    <x v="3"/>
    <x v="1"/>
    <x v="1"/>
    <n v="12309.04"/>
    <x v="2"/>
    <s v="medium"/>
  </r>
  <r>
    <x v="1082"/>
    <d v="2024-06-12T00:00:00"/>
    <x v="0"/>
    <s v="Bedsheet"/>
    <x v="3"/>
    <n v="1"/>
    <n v="240.1"/>
    <n v="0.05"/>
    <x v="0"/>
    <x v="0"/>
    <x v="0"/>
    <n v="228.09"/>
    <x v="11"/>
    <s v="low"/>
  </r>
  <r>
    <x v="1083"/>
    <d v="2024-12-30T00:00:00"/>
    <x v="3"/>
    <s v="Earbuds"/>
    <x v="5"/>
    <n v="3"/>
    <n v="408.6"/>
    <n v="0.1"/>
    <x v="3"/>
    <x v="2"/>
    <x v="0"/>
    <n v="1103.2200000000003"/>
    <x v="4"/>
    <s v="low"/>
  </r>
  <r>
    <x v="1084"/>
    <d v="2024-10-06T00:00:00"/>
    <x v="1"/>
    <s v="Jeans"/>
    <x v="0"/>
    <n v="3"/>
    <n v="5654.78"/>
    <n v="0"/>
    <x v="0"/>
    <x v="3"/>
    <x v="1"/>
    <n v="16964.34"/>
    <x v="5"/>
    <s v="medium"/>
  </r>
  <r>
    <x v="1085"/>
    <d v="2024-01-12T00:00:00"/>
    <x v="3"/>
    <s v="Phone Cover"/>
    <x v="5"/>
    <n v="2"/>
    <n v="4429.08"/>
    <n v="0.05"/>
    <x v="0"/>
    <x v="3"/>
    <x v="1"/>
    <n v="8415.25"/>
    <x v="1"/>
    <s v="low"/>
  </r>
  <r>
    <x v="1086"/>
    <d v="2024-07-09T00:00:00"/>
    <x v="2"/>
    <s v="Notebook"/>
    <x v="1"/>
    <n v="1"/>
    <n v="2721.93"/>
    <n v="0.05"/>
    <x v="0"/>
    <x v="4"/>
    <x v="0"/>
    <n v="2585.83"/>
    <x v="6"/>
    <s v="low"/>
  </r>
  <r>
    <x v="1087"/>
    <d v="2024-05-30T00:00:00"/>
    <x v="1"/>
    <s v="T-Shirt"/>
    <x v="4"/>
    <n v="5"/>
    <n v="7199.48"/>
    <n v="0.25"/>
    <x v="3"/>
    <x v="1"/>
    <x v="1"/>
    <n v="26998.05"/>
    <x v="9"/>
    <s v="high"/>
  </r>
  <r>
    <x v="1088"/>
    <d v="2024-03-12T00:00:00"/>
    <x v="0"/>
    <s v="Table Lamp"/>
    <x v="1"/>
    <n v="4"/>
    <n v="3770.66"/>
    <n v="0"/>
    <x v="0"/>
    <x v="3"/>
    <x v="1"/>
    <n v="15082.64"/>
    <x v="7"/>
    <s v="medium"/>
  </r>
  <r>
    <x v="1089"/>
    <d v="2024-07-23T00:00:00"/>
    <x v="1"/>
    <s v="T-Shirt"/>
    <x v="5"/>
    <n v="4"/>
    <n v="1291.3499999999999"/>
    <n v="0.1"/>
    <x v="0"/>
    <x v="0"/>
    <x v="1"/>
    <n v="4648.8599999999997"/>
    <x v="6"/>
    <s v="low"/>
  </r>
  <r>
    <x v="1090"/>
    <d v="2024-10-14T00:00:00"/>
    <x v="2"/>
    <s v="Notebook"/>
    <x v="0"/>
    <n v="2"/>
    <n v="6527.7"/>
    <n v="0.25"/>
    <x v="0"/>
    <x v="0"/>
    <x v="0"/>
    <n v="9791.5499999999993"/>
    <x v="5"/>
    <s v="low"/>
  </r>
  <r>
    <x v="1091"/>
    <d v="2024-12-17T00:00:00"/>
    <x v="2"/>
    <s v="Diary"/>
    <x v="4"/>
    <n v="3"/>
    <n v="730.2"/>
    <n v="0.1"/>
    <x v="0"/>
    <x v="4"/>
    <x v="0"/>
    <n v="1971.54"/>
    <x v="4"/>
    <s v="low"/>
  </r>
  <r>
    <x v="1092"/>
    <d v="2024-02-20T00:00:00"/>
    <x v="1"/>
    <s v="Sneakers"/>
    <x v="5"/>
    <n v="5"/>
    <n v="6479.62"/>
    <n v="0"/>
    <x v="0"/>
    <x v="3"/>
    <x v="1"/>
    <n v="32398.1"/>
    <x v="10"/>
    <s v="high"/>
  </r>
  <r>
    <x v="1093"/>
    <d v="2024-05-08T00:00:00"/>
    <x v="0"/>
    <s v="Table Lamp"/>
    <x v="0"/>
    <n v="6"/>
    <n v="2583.85"/>
    <n v="0"/>
    <x v="3"/>
    <x v="3"/>
    <x v="1"/>
    <n v="15503.1"/>
    <x v="9"/>
    <s v="medium"/>
  </r>
  <r>
    <x v="1094"/>
    <d v="2024-07-29T00:00:00"/>
    <x v="0"/>
    <s v="Curtain"/>
    <x v="3"/>
    <n v="5"/>
    <n v="3138.93"/>
    <n v="0"/>
    <x v="0"/>
    <x v="2"/>
    <x v="1"/>
    <n v="15694.65"/>
    <x v="6"/>
    <s v="medium"/>
  </r>
  <r>
    <x v="1095"/>
    <d v="2024-04-26T00:00:00"/>
    <x v="3"/>
    <s v="Earbuds"/>
    <x v="0"/>
    <n v="2"/>
    <n v="5536.94"/>
    <n v="0.25"/>
    <x v="3"/>
    <x v="4"/>
    <x v="1"/>
    <n v="8305.41"/>
    <x v="8"/>
    <s v="low"/>
  </r>
  <r>
    <x v="1096"/>
    <d v="2024-07-21T00:00:00"/>
    <x v="0"/>
    <s v="Cushion"/>
    <x v="0"/>
    <n v="1"/>
    <n v="5287.21"/>
    <n v="0.05"/>
    <x v="0"/>
    <x v="0"/>
    <x v="1"/>
    <n v="5022.8500000000004"/>
    <x v="6"/>
    <s v="low"/>
  </r>
  <r>
    <x v="1097"/>
    <d v="2024-02-10T00:00:00"/>
    <x v="4"/>
    <s v="Sunscreen"/>
    <x v="0"/>
    <n v="4"/>
    <n v="5175.57"/>
    <n v="0.1"/>
    <x v="0"/>
    <x v="1"/>
    <x v="0"/>
    <n v="18632.05"/>
    <x v="10"/>
    <s v="medium"/>
  </r>
  <r>
    <x v="1098"/>
    <d v="2024-01-06T00:00:00"/>
    <x v="0"/>
    <s v="Table Lamp"/>
    <x v="3"/>
    <n v="2"/>
    <n v="4780.99"/>
    <n v="0.25"/>
    <x v="0"/>
    <x v="2"/>
    <x v="1"/>
    <n v="7171.48"/>
    <x v="1"/>
    <s v="low"/>
  </r>
  <r>
    <x v="1099"/>
    <d v="2024-02-19T00:00:00"/>
    <x v="4"/>
    <s v="Sunscreen"/>
    <x v="0"/>
    <n v="3"/>
    <n v="7956.12"/>
    <n v="0.25"/>
    <x v="0"/>
    <x v="3"/>
    <x v="1"/>
    <n v="17901.27"/>
    <x v="10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E2:F11" firstHeaderRow="1" firstDataRow="1" firstDataCol="1"/>
  <pivotFields count="14">
    <pivotField showAll="0"/>
    <pivotField numFmtId="14" showAll="0"/>
    <pivotField showAll="0"/>
    <pivotField showAll="0"/>
    <pivotField axis="axisRow" showAll="0">
      <items count="9">
        <item x="2"/>
        <item x="7"/>
        <item x="4"/>
        <item x="5"/>
        <item x="3"/>
        <item x="1"/>
        <item x="6"/>
        <item x="0"/>
        <item t="default"/>
      </items>
    </pivotField>
    <pivotField showAll="0"/>
    <pivotField showAll="0"/>
    <pivotField numFmtId="10"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OrderAmount" fld="1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N5:N6" firstHeaderRow="1" firstDataRow="1" firstDataCol="0"/>
  <pivotFields count="14">
    <pivotField showAll="0">
      <items count="1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t="default"/>
      </items>
    </pivotField>
    <pivotField numFmtId="14" showAll="0"/>
    <pivotField showAll="0"/>
    <pivotField showAll="0"/>
    <pivotField showAll="0"/>
    <pivotField showAll="0"/>
    <pivotField showAll="0"/>
    <pivotField numFmtId="10"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Average of OrderAmount" fld="11" subtotal="average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>
  <location ref="A2:B8" firstHeaderRow="1" firstDataRow="1" firstDataCol="1"/>
  <pivotFields count="14">
    <pivotField showAll="0"/>
    <pivotField numFmtId="14" showAll="0"/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numFmtId="10"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rderAmount" fld="11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N2:N3" firstHeaderRow="1" firstDataRow="1" firstDataCol="0"/>
  <pivotFields count="14">
    <pivotField dataField="1" showAll="0">
      <items count="1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t="default"/>
      </items>
    </pivotField>
    <pivotField numFmtId="14" showAll="0"/>
    <pivotField showAll="0"/>
    <pivotField showAll="0"/>
    <pivotField showAll="0"/>
    <pivotField showAll="0"/>
    <pivotField showAll="0"/>
    <pivotField numFmtId="10"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E19:F22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OrderAmount" fld="11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N11:O13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numFmtId="10" showAll="0"/>
    <pivotField axis="axisRow" showAll="0">
      <items count="5">
        <item h="1" x="3"/>
        <item x="0"/>
        <item h="1" x="1"/>
        <item h="1" x="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/>
  </pivotFields>
  <rowFields count="1">
    <field x="8"/>
  </rowFields>
  <rowItems count="2">
    <i>
      <x v="1"/>
    </i>
    <i t="grand">
      <x/>
    </i>
  </rowItems>
  <colItems count="1">
    <i/>
  </colItems>
  <dataFields count="1">
    <dataField name="Count of OrderAmount" fld="11" subtotal="count" baseField="0" baseItem="0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>
  <location ref="K2:L7" firstHeaderRow="1" firstDataRow="1" firstDataCol="1"/>
  <pivotFields count="14">
    <pivotField dataField="1" showAll="0">
      <items count="1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t="default"/>
      </items>
    </pivotField>
    <pivotField numFmtId="14" showAll="0"/>
    <pivotField showAll="0"/>
    <pivotField showAll="0"/>
    <pivotField showAll="0">
      <items count="9">
        <item x="2"/>
        <item x="7"/>
        <item x="4"/>
        <item x="5"/>
        <item x="3"/>
        <item x="1"/>
        <item x="6"/>
        <item x="0"/>
        <item t="default"/>
      </items>
    </pivotField>
    <pivotField showAll="0"/>
    <pivotField showAll="0"/>
    <pivotField numFmtId="10"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N8:N9" firstHeaderRow="1" firstDataRow="1" firstDataCol="0"/>
  <pivotFields count="14">
    <pivotField showAll="0"/>
    <pivotField numFmtId="14" showAll="0"/>
    <pivotField showAll="0"/>
    <pivotField showAll="0"/>
    <pivotField showAll="0"/>
    <pivotField showAll="0"/>
    <pivotField showAll="0"/>
    <pivotField numFmtId="10"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OrderAmount" fld="11" baseField="0" baseItem="0"/>
  </dataFields>
  <chartFormats count="2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H2:I15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dataField="1" showAll="0"/>
    <pivotField axis="axisRow" showAll="0">
      <items count="13">
        <item x="1"/>
        <item x="10"/>
        <item x="7"/>
        <item x="8"/>
        <item x="9"/>
        <item x="11"/>
        <item x="6"/>
        <item x="2"/>
        <item x="3"/>
        <item x="5"/>
        <item x="0"/>
        <item x="4"/>
        <item t="default"/>
      </items>
    </pivotField>
    <pivotField showAll="0"/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OrderAmount" fld="1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N1101">
  <tableColumns count="14">
    <tableColumn id="1" name="OrderID" totalsRowLabel="Total"/>
    <tableColumn id="2" name="OrderDate" dataDxfId="3"/>
    <tableColumn id="3" name="Category"/>
    <tableColumn id="4" name="Product"/>
    <tableColumn id="5" name="State"/>
    <tableColumn id="6" name="Quantity"/>
    <tableColumn id="7" name="UnitPrice"/>
    <tableColumn id="8" name="Discount%" dataDxfId="2" dataCellStyle="Percent"/>
    <tableColumn id="9" name="OrderStatus"/>
    <tableColumn id="10" name="PaymentMode"/>
    <tableColumn id="11" name="Channel"/>
    <tableColumn id="12" name="OrderAmount" totalsRowFunction="sum"/>
    <tableColumn id="13" name="month" dataDxfId="1">
      <calculatedColumnFormula>TEXT(B2,"mmm")</calculatedColumnFormula>
    </tableColumn>
    <tableColumn id="14" name="sales bucket" dataDxfId="0">
      <calculatedColumnFormula>IF(L2&gt;20000,"high",IF(L2&gt;10000,"medium","low"))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101"/>
  <sheetViews>
    <sheetView workbookViewId="0">
      <selection activeCell="M2" sqref="M2"/>
    </sheetView>
  </sheetViews>
  <sheetFormatPr defaultRowHeight="14.4"/>
  <cols>
    <col min="1" max="1" width="9.33203125" customWidth="1"/>
    <col min="2" max="2" width="11.44140625" customWidth="1"/>
    <col min="3" max="3" width="10.21875" customWidth="1"/>
    <col min="4" max="4" width="17" bestFit="1" customWidth="1"/>
    <col min="5" max="5" width="13.77734375" bestFit="1" customWidth="1"/>
    <col min="6" max="6" width="9.88671875" customWidth="1"/>
    <col min="7" max="7" width="10.33203125" customWidth="1"/>
    <col min="8" max="8" width="11.44140625" customWidth="1"/>
    <col min="9" max="9" width="12.5546875" customWidth="1"/>
    <col min="10" max="10" width="14.77734375" customWidth="1"/>
    <col min="11" max="11" width="10.21875" bestFit="1" customWidth="1"/>
    <col min="12" max="15" width="14" customWidth="1"/>
    <col min="16" max="16" width="14.6640625" bestFit="1" customWidth="1"/>
    <col min="17" max="17" width="14" customWidth="1"/>
    <col min="19" max="19" width="16.109375" bestFit="1" customWidth="1"/>
    <col min="20" max="20" width="11.44140625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1167</v>
      </c>
      <c r="N1" t="s">
        <v>1168</v>
      </c>
    </row>
    <row r="2" spans="1:22">
      <c r="A2" t="s">
        <v>12</v>
      </c>
      <c r="B2" s="1">
        <v>45625</v>
      </c>
      <c r="C2" t="s">
        <v>13</v>
      </c>
      <c r="D2" t="s">
        <v>14</v>
      </c>
      <c r="E2" t="s">
        <v>15</v>
      </c>
      <c r="F2">
        <v>1</v>
      </c>
      <c r="G2">
        <v>718.62</v>
      </c>
      <c r="H2" s="5">
        <v>0</v>
      </c>
      <c r="I2" t="s">
        <v>16</v>
      </c>
      <c r="J2" t="s">
        <v>17</v>
      </c>
      <c r="K2" t="s">
        <v>18</v>
      </c>
      <c r="L2">
        <v>718.62</v>
      </c>
      <c r="M2" s="2" t="str">
        <f t="shared" ref="M2:M65" si="0">TEXT(B2,"mmm")</f>
        <v>Nov</v>
      </c>
      <c r="N2" s="2" t="str">
        <f t="shared" ref="N2:N65" si="1">IF(L2&gt;20000,"high",IF(L2&gt;10000,"medium","low"))</f>
        <v>low</v>
      </c>
      <c r="O2" s="2"/>
    </row>
    <row r="3" spans="1:22">
      <c r="A3" t="s">
        <v>19</v>
      </c>
      <c r="B3" s="1">
        <v>45322</v>
      </c>
      <c r="C3" t="s">
        <v>20</v>
      </c>
      <c r="D3" t="s">
        <v>21</v>
      </c>
      <c r="E3" t="s">
        <v>15</v>
      </c>
      <c r="F3">
        <v>5</v>
      </c>
      <c r="G3">
        <v>1121.8499999999999</v>
      </c>
      <c r="H3" s="5">
        <v>0.1</v>
      </c>
      <c r="I3" t="s">
        <v>22</v>
      </c>
      <c r="J3" t="s">
        <v>23</v>
      </c>
      <c r="K3" t="s">
        <v>18</v>
      </c>
      <c r="L3">
        <v>5048.32</v>
      </c>
      <c r="M3" s="2" t="str">
        <f t="shared" si="0"/>
        <v>Jan</v>
      </c>
      <c r="N3" s="2" t="str">
        <f t="shared" si="1"/>
        <v>low</v>
      </c>
      <c r="O3" s="2"/>
      <c r="P3" t="s">
        <v>1166</v>
      </c>
    </row>
    <row r="4" spans="1:22">
      <c r="A4" t="s">
        <v>24</v>
      </c>
      <c r="B4" s="1">
        <v>45506</v>
      </c>
      <c r="C4" t="s">
        <v>25</v>
      </c>
      <c r="D4" t="s">
        <v>26</v>
      </c>
      <c r="E4" t="s">
        <v>27</v>
      </c>
      <c r="F4">
        <v>2</v>
      </c>
      <c r="G4">
        <v>4394.38</v>
      </c>
      <c r="H4" s="5">
        <v>0.1</v>
      </c>
      <c r="I4" t="s">
        <v>28</v>
      </c>
      <c r="J4" t="s">
        <v>29</v>
      </c>
      <c r="K4" t="s">
        <v>18</v>
      </c>
      <c r="L4">
        <v>7909.88</v>
      </c>
      <c r="M4" s="2" t="str">
        <f t="shared" si="0"/>
        <v>Aug</v>
      </c>
      <c r="N4" s="2" t="str">
        <f t="shared" si="1"/>
        <v>low</v>
      </c>
      <c r="O4" s="2"/>
    </row>
    <row r="5" spans="1:22">
      <c r="A5" t="s">
        <v>30</v>
      </c>
      <c r="B5" s="1">
        <v>45608</v>
      </c>
      <c r="C5" t="s">
        <v>25</v>
      </c>
      <c r="D5" t="s">
        <v>31</v>
      </c>
      <c r="E5" t="s">
        <v>32</v>
      </c>
      <c r="F5">
        <v>2</v>
      </c>
      <c r="G5">
        <v>4046.85</v>
      </c>
      <c r="H5" s="5">
        <v>0.2</v>
      </c>
      <c r="I5" t="s">
        <v>16</v>
      </c>
      <c r="J5" t="s">
        <v>23</v>
      </c>
      <c r="K5" t="s">
        <v>33</v>
      </c>
      <c r="L5">
        <v>6474.96</v>
      </c>
      <c r="M5" s="2" t="str">
        <f t="shared" si="0"/>
        <v>Nov</v>
      </c>
      <c r="N5" s="2" t="str">
        <f t="shared" si="1"/>
        <v>low</v>
      </c>
      <c r="O5" s="2"/>
      <c r="S5" s="3" t="s">
        <v>1161</v>
      </c>
      <c r="T5" t="s">
        <v>1162</v>
      </c>
      <c r="U5" s="3">
        <v>234</v>
      </c>
      <c r="V5">
        <f>U5*1</f>
        <v>234</v>
      </c>
    </row>
    <row r="6" spans="1:22">
      <c r="A6" t="s">
        <v>34</v>
      </c>
      <c r="B6" s="1">
        <v>45560</v>
      </c>
      <c r="C6" t="s">
        <v>35</v>
      </c>
      <c r="D6" t="s">
        <v>36</v>
      </c>
      <c r="E6" t="s">
        <v>27</v>
      </c>
      <c r="F6">
        <v>4</v>
      </c>
      <c r="G6">
        <v>7019.83</v>
      </c>
      <c r="H6" s="5">
        <v>0.25</v>
      </c>
      <c r="I6" t="s">
        <v>16</v>
      </c>
      <c r="J6" t="s">
        <v>29</v>
      </c>
      <c r="K6" t="s">
        <v>33</v>
      </c>
      <c r="L6">
        <v>21059.49</v>
      </c>
      <c r="M6" s="2" t="str">
        <f t="shared" si="0"/>
        <v>Sep</v>
      </c>
      <c r="N6" s="2" t="str">
        <f t="shared" si="1"/>
        <v>high</v>
      </c>
      <c r="O6" s="2"/>
      <c r="S6">
        <v>4562</v>
      </c>
      <c r="T6" t="s">
        <v>1163</v>
      </c>
      <c r="U6" s="3">
        <v>321</v>
      </c>
      <c r="V6">
        <f>U6*1</f>
        <v>321</v>
      </c>
    </row>
    <row r="7" spans="1:22">
      <c r="A7" t="s">
        <v>37</v>
      </c>
      <c r="B7" s="1">
        <v>45634</v>
      </c>
      <c r="C7" t="s">
        <v>38</v>
      </c>
      <c r="D7" t="s">
        <v>39</v>
      </c>
      <c r="E7" t="s">
        <v>32</v>
      </c>
      <c r="F7">
        <v>1</v>
      </c>
      <c r="G7">
        <v>6151.88</v>
      </c>
      <c r="H7" s="5">
        <v>0.15</v>
      </c>
      <c r="I7" t="s">
        <v>16</v>
      </c>
      <c r="J7" t="s">
        <v>40</v>
      </c>
      <c r="K7" t="s">
        <v>33</v>
      </c>
      <c r="L7">
        <v>5229.1000000000004</v>
      </c>
      <c r="M7" s="2" t="str">
        <f t="shared" si="0"/>
        <v>Dec</v>
      </c>
      <c r="N7" s="2" t="str">
        <f t="shared" si="1"/>
        <v>low</v>
      </c>
      <c r="O7" s="2"/>
      <c r="U7">
        <v>345</v>
      </c>
      <c r="V7">
        <f>U7*1</f>
        <v>345</v>
      </c>
    </row>
    <row r="8" spans="1:22">
      <c r="A8" t="s">
        <v>41</v>
      </c>
      <c r="B8" s="1">
        <v>45651</v>
      </c>
      <c r="C8" t="s">
        <v>38</v>
      </c>
      <c r="D8" t="s">
        <v>42</v>
      </c>
      <c r="E8" t="s">
        <v>32</v>
      </c>
      <c r="F8">
        <v>3</v>
      </c>
      <c r="G8">
        <v>5229.96</v>
      </c>
      <c r="H8" s="5">
        <v>0.25</v>
      </c>
      <c r="I8" t="s">
        <v>16</v>
      </c>
      <c r="J8" t="s">
        <v>29</v>
      </c>
      <c r="K8" t="s">
        <v>33</v>
      </c>
      <c r="L8">
        <v>11767.41</v>
      </c>
      <c r="M8" s="2" t="str">
        <f t="shared" si="0"/>
        <v>Dec</v>
      </c>
      <c r="N8" s="2" t="str">
        <f t="shared" si="1"/>
        <v>medium</v>
      </c>
      <c r="O8" s="2"/>
      <c r="U8">
        <v>2134</v>
      </c>
      <c r="V8">
        <f>U8*1</f>
        <v>2134</v>
      </c>
    </row>
    <row r="9" spans="1:22">
      <c r="A9" t="s">
        <v>43</v>
      </c>
      <c r="B9" s="1">
        <v>45322</v>
      </c>
      <c r="C9" t="s">
        <v>25</v>
      </c>
      <c r="D9" t="s">
        <v>31</v>
      </c>
      <c r="E9" t="s">
        <v>44</v>
      </c>
      <c r="F9">
        <v>2</v>
      </c>
      <c r="G9">
        <v>6180.63</v>
      </c>
      <c r="H9" s="5">
        <v>0.05</v>
      </c>
      <c r="I9" t="s">
        <v>22</v>
      </c>
      <c r="J9" t="s">
        <v>17</v>
      </c>
      <c r="K9" t="s">
        <v>33</v>
      </c>
      <c r="L9">
        <v>11743.2</v>
      </c>
      <c r="M9" s="2" t="str">
        <f t="shared" si="0"/>
        <v>Jan</v>
      </c>
      <c r="N9" s="2" t="str">
        <f t="shared" si="1"/>
        <v>medium</v>
      </c>
      <c r="O9" s="2"/>
      <c r="U9" s="3">
        <v>2</v>
      </c>
      <c r="V9">
        <f>U9*1</f>
        <v>2</v>
      </c>
    </row>
    <row r="10" spans="1:22">
      <c r="A10" t="s">
        <v>45</v>
      </c>
      <c r="B10" s="1">
        <v>45512</v>
      </c>
      <c r="C10" t="s">
        <v>25</v>
      </c>
      <c r="D10" t="s">
        <v>46</v>
      </c>
      <c r="E10" t="s">
        <v>47</v>
      </c>
      <c r="F10">
        <v>5</v>
      </c>
      <c r="G10">
        <v>2335.61</v>
      </c>
      <c r="H10" s="5">
        <v>0.2</v>
      </c>
      <c r="I10" t="s">
        <v>16</v>
      </c>
      <c r="J10" t="s">
        <v>23</v>
      </c>
      <c r="K10" t="s">
        <v>33</v>
      </c>
      <c r="L10">
        <v>9342.44</v>
      </c>
      <c r="M10" s="2" t="str">
        <f t="shared" si="0"/>
        <v>Aug</v>
      </c>
      <c r="N10" s="2" t="str">
        <f t="shared" si="1"/>
        <v>low</v>
      </c>
      <c r="O10" s="2"/>
    </row>
    <row r="11" spans="1:22">
      <c r="A11" t="s">
        <v>48</v>
      </c>
      <c r="B11" s="1">
        <v>45593</v>
      </c>
      <c r="C11" t="s">
        <v>20</v>
      </c>
      <c r="D11" t="s">
        <v>21</v>
      </c>
      <c r="E11" t="s">
        <v>44</v>
      </c>
      <c r="F11">
        <v>2</v>
      </c>
      <c r="G11">
        <v>2212.56</v>
      </c>
      <c r="H11" s="5">
        <v>0</v>
      </c>
      <c r="I11" t="s">
        <v>16</v>
      </c>
      <c r="J11" t="s">
        <v>49</v>
      </c>
      <c r="K11" t="s">
        <v>18</v>
      </c>
      <c r="L11">
        <v>4425.12</v>
      </c>
      <c r="M11" s="2" t="str">
        <f t="shared" si="0"/>
        <v>Oct</v>
      </c>
      <c r="N11" s="2" t="str">
        <f t="shared" si="1"/>
        <v>low</v>
      </c>
      <c r="O11" s="2"/>
    </row>
    <row r="12" spans="1:22">
      <c r="A12" t="s">
        <v>50</v>
      </c>
      <c r="B12" s="1">
        <v>45495</v>
      </c>
      <c r="C12" t="s">
        <v>38</v>
      </c>
      <c r="D12" t="s">
        <v>51</v>
      </c>
      <c r="E12" t="s">
        <v>15</v>
      </c>
      <c r="F12">
        <v>4</v>
      </c>
      <c r="G12">
        <v>3243.84</v>
      </c>
      <c r="H12" s="5">
        <v>0.25</v>
      </c>
      <c r="I12" t="s">
        <v>22</v>
      </c>
      <c r="J12" t="s">
        <v>40</v>
      </c>
      <c r="K12" t="s">
        <v>33</v>
      </c>
      <c r="L12">
        <v>9731.52</v>
      </c>
      <c r="M12" s="2" t="str">
        <f t="shared" si="0"/>
        <v>Jul</v>
      </c>
      <c r="N12" s="2" t="str">
        <f t="shared" si="1"/>
        <v>low</v>
      </c>
      <c r="O12" s="2"/>
      <c r="U12" t="s">
        <v>1164</v>
      </c>
    </row>
    <row r="13" spans="1:22">
      <c r="A13" t="s">
        <v>52</v>
      </c>
      <c r="B13" s="1">
        <v>45292</v>
      </c>
      <c r="C13" t="s">
        <v>25</v>
      </c>
      <c r="D13" t="s">
        <v>31</v>
      </c>
      <c r="E13" t="s">
        <v>53</v>
      </c>
      <c r="F13">
        <v>5</v>
      </c>
      <c r="G13">
        <v>1337.43</v>
      </c>
      <c r="H13" s="5">
        <v>0</v>
      </c>
      <c r="I13" t="s">
        <v>16</v>
      </c>
      <c r="J13" t="s">
        <v>29</v>
      </c>
      <c r="K13" t="s">
        <v>33</v>
      </c>
      <c r="L13">
        <v>6687.15</v>
      </c>
      <c r="M13" s="2" t="str">
        <f t="shared" si="0"/>
        <v>Jan</v>
      </c>
      <c r="N13" s="2" t="str">
        <f t="shared" si="1"/>
        <v>low</v>
      </c>
      <c r="O13" s="2"/>
      <c r="U13" t="s">
        <v>1165</v>
      </c>
    </row>
    <row r="14" spans="1:22">
      <c r="A14" t="s">
        <v>54</v>
      </c>
      <c r="B14" s="1">
        <v>45354</v>
      </c>
      <c r="C14" t="s">
        <v>25</v>
      </c>
      <c r="D14" t="s">
        <v>46</v>
      </c>
      <c r="E14" t="s">
        <v>44</v>
      </c>
      <c r="F14">
        <v>1</v>
      </c>
      <c r="G14">
        <v>6814.15</v>
      </c>
      <c r="H14" s="5">
        <v>0.25</v>
      </c>
      <c r="I14" t="s">
        <v>55</v>
      </c>
      <c r="J14" t="s">
        <v>29</v>
      </c>
      <c r="K14" t="s">
        <v>33</v>
      </c>
      <c r="L14">
        <v>5110.6099999999997</v>
      </c>
      <c r="M14" s="2" t="str">
        <f t="shared" si="0"/>
        <v>Mar</v>
      </c>
      <c r="N14" s="2" t="str">
        <f t="shared" si="1"/>
        <v>low</v>
      </c>
      <c r="O14" s="2"/>
    </row>
    <row r="15" spans="1:22">
      <c r="A15" t="s">
        <v>56</v>
      </c>
      <c r="B15" s="1">
        <v>45397</v>
      </c>
      <c r="C15" t="s">
        <v>20</v>
      </c>
      <c r="D15" t="s">
        <v>57</v>
      </c>
      <c r="E15" t="s">
        <v>32</v>
      </c>
      <c r="F15">
        <v>5</v>
      </c>
      <c r="G15">
        <v>2989.76</v>
      </c>
      <c r="H15" s="5">
        <v>0</v>
      </c>
      <c r="I15" t="s">
        <v>28</v>
      </c>
      <c r="J15" t="s">
        <v>49</v>
      </c>
      <c r="K15" t="s">
        <v>33</v>
      </c>
      <c r="L15">
        <v>14948.8</v>
      </c>
      <c r="M15" s="2" t="str">
        <f t="shared" si="0"/>
        <v>Apr</v>
      </c>
      <c r="N15" s="2" t="str">
        <f t="shared" si="1"/>
        <v>medium</v>
      </c>
      <c r="O15" s="2"/>
    </row>
    <row r="16" spans="1:22">
      <c r="A16" t="s">
        <v>58</v>
      </c>
      <c r="B16" s="1">
        <v>45564</v>
      </c>
      <c r="C16" t="s">
        <v>20</v>
      </c>
      <c r="D16" t="s">
        <v>59</v>
      </c>
      <c r="E16" t="s">
        <v>1160</v>
      </c>
      <c r="F16">
        <v>5</v>
      </c>
      <c r="G16">
        <v>6265.58</v>
      </c>
      <c r="H16" s="5">
        <v>0.15</v>
      </c>
      <c r="I16" t="s">
        <v>22</v>
      </c>
      <c r="J16" t="s">
        <v>23</v>
      </c>
      <c r="K16" t="s">
        <v>33</v>
      </c>
      <c r="L16">
        <v>26628.720000000001</v>
      </c>
      <c r="M16" s="2" t="str">
        <f t="shared" si="0"/>
        <v>Sep</v>
      </c>
      <c r="N16" s="2" t="str">
        <f t="shared" si="1"/>
        <v>high</v>
      </c>
      <c r="O16" s="2"/>
    </row>
    <row r="17" spans="1:15">
      <c r="A17" t="s">
        <v>60</v>
      </c>
      <c r="B17" s="1">
        <v>45474</v>
      </c>
      <c r="C17" t="s">
        <v>20</v>
      </c>
      <c r="D17" t="s">
        <v>61</v>
      </c>
      <c r="E17" t="s">
        <v>44</v>
      </c>
      <c r="F17">
        <v>6</v>
      </c>
      <c r="G17">
        <v>377.49</v>
      </c>
      <c r="H17" s="5">
        <v>0</v>
      </c>
      <c r="I17" t="s">
        <v>16</v>
      </c>
      <c r="J17" t="s">
        <v>29</v>
      </c>
      <c r="K17" t="s">
        <v>33</v>
      </c>
      <c r="L17">
        <v>2264.94</v>
      </c>
      <c r="M17" s="2" t="str">
        <f t="shared" si="0"/>
        <v>Jul</v>
      </c>
      <c r="N17" s="2" t="str">
        <f t="shared" si="1"/>
        <v>low</v>
      </c>
      <c r="O17" s="2"/>
    </row>
    <row r="18" spans="1:15">
      <c r="A18" t="s">
        <v>62</v>
      </c>
      <c r="B18" s="1">
        <v>45408</v>
      </c>
      <c r="C18" t="s">
        <v>35</v>
      </c>
      <c r="D18" t="s">
        <v>63</v>
      </c>
      <c r="E18" t="s">
        <v>53</v>
      </c>
      <c r="F18">
        <v>4</v>
      </c>
      <c r="G18">
        <v>1694.14</v>
      </c>
      <c r="H18" s="5">
        <v>0.1</v>
      </c>
      <c r="I18" t="s">
        <v>55</v>
      </c>
      <c r="J18" t="s">
        <v>29</v>
      </c>
      <c r="K18" t="s">
        <v>18</v>
      </c>
      <c r="L18">
        <v>6098.9</v>
      </c>
      <c r="M18" s="2" t="str">
        <f t="shared" si="0"/>
        <v>Apr</v>
      </c>
      <c r="N18" s="2" t="str">
        <f t="shared" si="1"/>
        <v>low</v>
      </c>
      <c r="O18" s="2"/>
    </row>
    <row r="19" spans="1:15">
      <c r="A19" t="s">
        <v>64</v>
      </c>
      <c r="B19" s="1">
        <v>45536</v>
      </c>
      <c r="C19" t="s">
        <v>35</v>
      </c>
      <c r="D19" t="s">
        <v>65</v>
      </c>
      <c r="E19" t="s">
        <v>1160</v>
      </c>
      <c r="F19">
        <v>2</v>
      </c>
      <c r="G19">
        <v>3556.31</v>
      </c>
      <c r="H19" s="5">
        <v>0.15</v>
      </c>
      <c r="I19" t="s">
        <v>16</v>
      </c>
      <c r="J19" t="s">
        <v>40</v>
      </c>
      <c r="K19" t="s">
        <v>33</v>
      </c>
      <c r="L19">
        <v>6045.73</v>
      </c>
      <c r="M19" s="2" t="str">
        <f t="shared" si="0"/>
        <v>Sep</v>
      </c>
      <c r="N19" s="2" t="str">
        <f t="shared" si="1"/>
        <v>low</v>
      </c>
      <c r="O19" s="2"/>
    </row>
    <row r="20" spans="1:15">
      <c r="A20" t="s">
        <v>66</v>
      </c>
      <c r="B20" s="1">
        <v>45369</v>
      </c>
      <c r="C20" t="s">
        <v>20</v>
      </c>
      <c r="D20" t="s">
        <v>61</v>
      </c>
      <c r="E20" t="s">
        <v>32</v>
      </c>
      <c r="F20">
        <v>5</v>
      </c>
      <c r="G20">
        <v>7253.09</v>
      </c>
      <c r="H20" s="5">
        <v>0.05</v>
      </c>
      <c r="I20" t="s">
        <v>28</v>
      </c>
      <c r="J20" t="s">
        <v>49</v>
      </c>
      <c r="K20" t="s">
        <v>33</v>
      </c>
      <c r="L20">
        <v>34452.18</v>
      </c>
      <c r="M20" s="2" t="str">
        <f t="shared" si="0"/>
        <v>Mar</v>
      </c>
      <c r="N20" s="2" t="str">
        <f t="shared" si="1"/>
        <v>high</v>
      </c>
      <c r="O20" s="2"/>
    </row>
    <row r="21" spans="1:15">
      <c r="A21" t="s">
        <v>67</v>
      </c>
      <c r="B21" s="1">
        <v>45561</v>
      </c>
      <c r="C21" t="s">
        <v>35</v>
      </c>
      <c r="D21" t="s">
        <v>68</v>
      </c>
      <c r="E21" t="s">
        <v>53</v>
      </c>
      <c r="F21">
        <v>6</v>
      </c>
      <c r="G21">
        <v>7478.95</v>
      </c>
      <c r="H21" s="5">
        <v>0.2</v>
      </c>
      <c r="I21" t="s">
        <v>16</v>
      </c>
      <c r="J21" t="s">
        <v>23</v>
      </c>
      <c r="K21" t="s">
        <v>33</v>
      </c>
      <c r="L21">
        <v>35898.959999999999</v>
      </c>
      <c r="M21" s="2" t="str">
        <f t="shared" si="0"/>
        <v>Sep</v>
      </c>
      <c r="N21" s="2" t="str">
        <f t="shared" si="1"/>
        <v>high</v>
      </c>
      <c r="O21" s="2"/>
    </row>
    <row r="22" spans="1:15">
      <c r="A22" t="s">
        <v>69</v>
      </c>
      <c r="B22" s="1">
        <v>45359</v>
      </c>
      <c r="C22" t="s">
        <v>13</v>
      </c>
      <c r="D22" t="s">
        <v>70</v>
      </c>
      <c r="E22" t="s">
        <v>15</v>
      </c>
      <c r="F22">
        <v>1</v>
      </c>
      <c r="G22">
        <v>7293.63</v>
      </c>
      <c r="H22" s="5">
        <v>0.15</v>
      </c>
      <c r="I22" t="s">
        <v>55</v>
      </c>
      <c r="J22" t="s">
        <v>49</v>
      </c>
      <c r="K22" t="s">
        <v>33</v>
      </c>
      <c r="L22">
        <v>6199.59</v>
      </c>
      <c r="M22" s="2" t="str">
        <f t="shared" si="0"/>
        <v>Mar</v>
      </c>
      <c r="N22" s="2" t="str">
        <f t="shared" si="1"/>
        <v>low</v>
      </c>
      <c r="O22" s="2"/>
    </row>
    <row r="23" spans="1:15">
      <c r="A23" t="s">
        <v>71</v>
      </c>
      <c r="B23" s="1">
        <v>45517</v>
      </c>
      <c r="C23" t="s">
        <v>25</v>
      </c>
      <c r="D23" t="s">
        <v>26</v>
      </c>
      <c r="E23" t="s">
        <v>32</v>
      </c>
      <c r="F23">
        <v>2</v>
      </c>
      <c r="G23">
        <v>4927.1499999999996</v>
      </c>
      <c r="H23" s="5">
        <v>0.05</v>
      </c>
      <c r="I23" t="s">
        <v>16</v>
      </c>
      <c r="J23" t="s">
        <v>49</v>
      </c>
      <c r="K23" t="s">
        <v>33</v>
      </c>
      <c r="L23">
        <v>9361.58</v>
      </c>
      <c r="M23" s="2" t="str">
        <f t="shared" si="0"/>
        <v>Aug</v>
      </c>
      <c r="N23" s="2" t="str">
        <f t="shared" si="1"/>
        <v>low</v>
      </c>
      <c r="O23" s="2"/>
    </row>
    <row r="24" spans="1:15">
      <c r="A24" t="s">
        <v>72</v>
      </c>
      <c r="B24" s="1">
        <v>45419</v>
      </c>
      <c r="C24" t="s">
        <v>35</v>
      </c>
      <c r="D24" t="s">
        <v>36</v>
      </c>
      <c r="E24" t="s">
        <v>32</v>
      </c>
      <c r="F24">
        <v>2</v>
      </c>
      <c r="G24">
        <v>2323.8000000000002</v>
      </c>
      <c r="H24" s="5">
        <v>0</v>
      </c>
      <c r="I24" t="s">
        <v>28</v>
      </c>
      <c r="J24" t="s">
        <v>29</v>
      </c>
      <c r="K24" t="s">
        <v>33</v>
      </c>
      <c r="L24">
        <v>4647.6000000000004</v>
      </c>
      <c r="M24" s="2" t="str">
        <f t="shared" si="0"/>
        <v>May</v>
      </c>
      <c r="N24" s="2" t="str">
        <f t="shared" si="1"/>
        <v>low</v>
      </c>
      <c r="O24" s="2"/>
    </row>
    <row r="25" spans="1:15">
      <c r="A25" t="s">
        <v>73</v>
      </c>
      <c r="B25" s="1">
        <v>45551</v>
      </c>
      <c r="C25" t="s">
        <v>13</v>
      </c>
      <c r="D25" t="s">
        <v>74</v>
      </c>
      <c r="E25" t="s">
        <v>44</v>
      </c>
      <c r="F25">
        <v>2</v>
      </c>
      <c r="G25">
        <v>5638.86</v>
      </c>
      <c r="H25" s="5">
        <v>0.1</v>
      </c>
      <c r="I25" t="s">
        <v>28</v>
      </c>
      <c r="J25" t="s">
        <v>17</v>
      </c>
      <c r="K25" t="s">
        <v>33</v>
      </c>
      <c r="L25">
        <v>10149.950000000001</v>
      </c>
      <c r="M25" s="2" t="str">
        <f t="shared" si="0"/>
        <v>Sep</v>
      </c>
      <c r="N25" s="2" t="str">
        <f t="shared" si="1"/>
        <v>medium</v>
      </c>
      <c r="O25" s="2"/>
    </row>
    <row r="26" spans="1:15">
      <c r="A26" t="s">
        <v>75</v>
      </c>
      <c r="B26" s="1">
        <v>45511</v>
      </c>
      <c r="C26" t="s">
        <v>13</v>
      </c>
      <c r="D26" t="s">
        <v>76</v>
      </c>
      <c r="E26" t="s">
        <v>1160</v>
      </c>
      <c r="F26">
        <v>1</v>
      </c>
      <c r="G26">
        <v>1819.61</v>
      </c>
      <c r="H26" s="5">
        <v>0.1</v>
      </c>
      <c r="I26" t="s">
        <v>16</v>
      </c>
      <c r="J26" t="s">
        <v>23</v>
      </c>
      <c r="K26" t="s">
        <v>33</v>
      </c>
      <c r="L26">
        <v>1637.65</v>
      </c>
      <c r="M26" s="2" t="str">
        <f t="shared" si="0"/>
        <v>Aug</v>
      </c>
      <c r="N26" s="2" t="str">
        <f t="shared" si="1"/>
        <v>low</v>
      </c>
      <c r="O26" s="2"/>
    </row>
    <row r="27" spans="1:15">
      <c r="A27" t="s">
        <v>77</v>
      </c>
      <c r="B27" s="1">
        <v>45340</v>
      </c>
      <c r="C27" t="s">
        <v>20</v>
      </c>
      <c r="D27" t="s">
        <v>78</v>
      </c>
      <c r="E27" t="s">
        <v>1160</v>
      </c>
      <c r="F27">
        <v>4</v>
      </c>
      <c r="G27">
        <v>7096.72</v>
      </c>
      <c r="H27" s="5">
        <v>0.05</v>
      </c>
      <c r="I27" t="s">
        <v>22</v>
      </c>
      <c r="J27" t="s">
        <v>29</v>
      </c>
      <c r="K27" t="s">
        <v>33</v>
      </c>
      <c r="L27">
        <v>26967.54</v>
      </c>
      <c r="M27" s="2" t="str">
        <f t="shared" si="0"/>
        <v>Feb</v>
      </c>
      <c r="N27" s="2" t="str">
        <f t="shared" si="1"/>
        <v>high</v>
      </c>
      <c r="O27" s="2"/>
    </row>
    <row r="28" spans="1:15">
      <c r="A28" t="s">
        <v>79</v>
      </c>
      <c r="B28" s="1">
        <v>45339</v>
      </c>
      <c r="C28" t="s">
        <v>20</v>
      </c>
      <c r="D28" t="s">
        <v>59</v>
      </c>
      <c r="E28" t="s">
        <v>80</v>
      </c>
      <c r="F28">
        <v>6</v>
      </c>
      <c r="G28">
        <v>3022.73</v>
      </c>
      <c r="H28" s="5">
        <v>0.15</v>
      </c>
      <c r="I28" t="s">
        <v>28</v>
      </c>
      <c r="J28" t="s">
        <v>29</v>
      </c>
      <c r="K28" t="s">
        <v>18</v>
      </c>
      <c r="L28">
        <v>15415.92</v>
      </c>
      <c r="M28" s="2" t="str">
        <f t="shared" si="0"/>
        <v>Feb</v>
      </c>
      <c r="N28" s="2" t="str">
        <f t="shared" si="1"/>
        <v>medium</v>
      </c>
      <c r="O28" s="2"/>
    </row>
    <row r="29" spans="1:15">
      <c r="A29" t="s">
        <v>81</v>
      </c>
      <c r="B29" s="1">
        <v>45335</v>
      </c>
      <c r="C29" t="s">
        <v>35</v>
      </c>
      <c r="D29" t="s">
        <v>63</v>
      </c>
      <c r="E29" t="s">
        <v>53</v>
      </c>
      <c r="F29">
        <v>3</v>
      </c>
      <c r="G29">
        <v>2284.58</v>
      </c>
      <c r="H29" s="5">
        <v>0.05</v>
      </c>
      <c r="I29" t="s">
        <v>16</v>
      </c>
      <c r="J29" t="s">
        <v>29</v>
      </c>
      <c r="K29" t="s">
        <v>33</v>
      </c>
      <c r="L29">
        <v>6511.05</v>
      </c>
      <c r="M29" s="2" t="str">
        <f t="shared" si="0"/>
        <v>Feb</v>
      </c>
      <c r="N29" s="2" t="str">
        <f t="shared" si="1"/>
        <v>low</v>
      </c>
      <c r="O29" s="2"/>
    </row>
    <row r="30" spans="1:15">
      <c r="A30" t="s">
        <v>82</v>
      </c>
      <c r="B30" s="1">
        <v>45650</v>
      </c>
      <c r="C30" t="s">
        <v>20</v>
      </c>
      <c r="D30" t="s">
        <v>57</v>
      </c>
      <c r="E30" t="s">
        <v>44</v>
      </c>
      <c r="F30">
        <v>3</v>
      </c>
      <c r="G30">
        <v>852.28</v>
      </c>
      <c r="H30" s="5">
        <v>0</v>
      </c>
      <c r="I30" t="s">
        <v>22</v>
      </c>
      <c r="J30" t="s">
        <v>40</v>
      </c>
      <c r="K30" t="s">
        <v>33</v>
      </c>
      <c r="L30">
        <f>(F30*G30)-(F30*G30)*H30</f>
        <v>2556.84</v>
      </c>
      <c r="M30" s="2" t="str">
        <f t="shared" si="0"/>
        <v>Dec</v>
      </c>
      <c r="N30" s="2" t="str">
        <f t="shared" si="1"/>
        <v>low</v>
      </c>
      <c r="O30" s="2"/>
    </row>
    <row r="31" spans="1:15">
      <c r="A31" t="s">
        <v>83</v>
      </c>
      <c r="B31" s="1">
        <v>45326</v>
      </c>
      <c r="C31" t="s">
        <v>35</v>
      </c>
      <c r="D31" t="s">
        <v>36</v>
      </c>
      <c r="E31" t="s">
        <v>1160</v>
      </c>
      <c r="F31">
        <v>3</v>
      </c>
      <c r="G31">
        <v>6922.78</v>
      </c>
      <c r="H31" s="5">
        <v>0.25</v>
      </c>
      <c r="I31" t="s">
        <v>16</v>
      </c>
      <c r="J31" t="s">
        <v>23</v>
      </c>
      <c r="K31" t="s">
        <v>18</v>
      </c>
      <c r="L31">
        <v>15576.26</v>
      </c>
      <c r="M31" s="2" t="str">
        <f t="shared" si="0"/>
        <v>Feb</v>
      </c>
      <c r="N31" s="2" t="str">
        <f t="shared" si="1"/>
        <v>medium</v>
      </c>
      <c r="O31" s="2"/>
    </row>
    <row r="32" spans="1:15">
      <c r="A32" t="s">
        <v>84</v>
      </c>
      <c r="B32" s="1">
        <v>45374</v>
      </c>
      <c r="C32" t="s">
        <v>25</v>
      </c>
      <c r="D32" t="s">
        <v>26</v>
      </c>
      <c r="E32" t="s">
        <v>53</v>
      </c>
      <c r="F32">
        <v>3</v>
      </c>
      <c r="G32">
        <v>545.48</v>
      </c>
      <c r="H32" s="5">
        <v>0.1</v>
      </c>
      <c r="I32" t="s">
        <v>16</v>
      </c>
      <c r="J32" t="s">
        <v>23</v>
      </c>
      <c r="K32" t="s">
        <v>33</v>
      </c>
      <c r="L32">
        <v>1472.8</v>
      </c>
      <c r="M32" s="2" t="str">
        <f t="shared" si="0"/>
        <v>Mar</v>
      </c>
      <c r="N32" s="2" t="str">
        <f t="shared" si="1"/>
        <v>low</v>
      </c>
      <c r="O32" s="2"/>
    </row>
    <row r="33" spans="1:15">
      <c r="A33" t="s">
        <v>85</v>
      </c>
      <c r="B33" s="1">
        <v>45310</v>
      </c>
      <c r="C33" t="s">
        <v>13</v>
      </c>
      <c r="D33" t="s">
        <v>76</v>
      </c>
      <c r="E33" t="s">
        <v>27</v>
      </c>
      <c r="F33">
        <v>1</v>
      </c>
      <c r="G33">
        <v>294.70999999999998</v>
      </c>
      <c r="H33" s="5">
        <v>0.1</v>
      </c>
      <c r="I33" t="s">
        <v>28</v>
      </c>
      <c r="J33" t="s">
        <v>17</v>
      </c>
      <c r="K33" t="s">
        <v>33</v>
      </c>
      <c r="L33">
        <v>265.24</v>
      </c>
      <c r="M33" s="2" t="str">
        <f t="shared" si="0"/>
        <v>Jan</v>
      </c>
      <c r="N33" s="2" t="str">
        <f t="shared" si="1"/>
        <v>low</v>
      </c>
      <c r="O33" s="2"/>
    </row>
    <row r="34" spans="1:15">
      <c r="A34" t="s">
        <v>86</v>
      </c>
      <c r="B34" s="1">
        <v>45644</v>
      </c>
      <c r="C34" t="s">
        <v>25</v>
      </c>
      <c r="D34" t="s">
        <v>87</v>
      </c>
      <c r="E34" t="s">
        <v>27</v>
      </c>
      <c r="F34">
        <v>2</v>
      </c>
      <c r="G34">
        <v>7862.16</v>
      </c>
      <c r="H34" s="5">
        <v>0.15</v>
      </c>
      <c r="I34" t="s">
        <v>16</v>
      </c>
      <c r="J34" t="s">
        <v>29</v>
      </c>
      <c r="K34" t="s">
        <v>18</v>
      </c>
      <c r="L34">
        <v>13365.67</v>
      </c>
      <c r="M34" s="2" t="str">
        <f t="shared" si="0"/>
        <v>Dec</v>
      </c>
      <c r="N34" s="2" t="str">
        <f t="shared" si="1"/>
        <v>medium</v>
      </c>
      <c r="O34" s="2"/>
    </row>
    <row r="35" spans="1:15">
      <c r="A35" t="s">
        <v>88</v>
      </c>
      <c r="B35" s="1">
        <v>45612</v>
      </c>
      <c r="C35" t="s">
        <v>20</v>
      </c>
      <c r="D35" t="s">
        <v>21</v>
      </c>
      <c r="E35" t="s">
        <v>53</v>
      </c>
      <c r="F35">
        <v>6</v>
      </c>
      <c r="G35">
        <v>7056.86</v>
      </c>
      <c r="H35" s="5">
        <v>0.2</v>
      </c>
      <c r="I35" t="s">
        <v>16</v>
      </c>
      <c r="J35" t="s">
        <v>29</v>
      </c>
      <c r="K35" t="s">
        <v>33</v>
      </c>
      <c r="L35">
        <v>33872.93</v>
      </c>
      <c r="M35" s="2" t="str">
        <f t="shared" si="0"/>
        <v>Nov</v>
      </c>
      <c r="N35" s="2" t="str">
        <f t="shared" si="1"/>
        <v>high</v>
      </c>
      <c r="O35" s="2"/>
    </row>
    <row r="36" spans="1:15">
      <c r="A36" t="s">
        <v>89</v>
      </c>
      <c r="B36" s="1">
        <v>45386</v>
      </c>
      <c r="C36" t="s">
        <v>13</v>
      </c>
      <c r="D36" t="s">
        <v>76</v>
      </c>
      <c r="E36" t="s">
        <v>44</v>
      </c>
      <c r="F36">
        <v>2</v>
      </c>
      <c r="G36">
        <v>2261.94</v>
      </c>
      <c r="H36" s="5">
        <v>0</v>
      </c>
      <c r="I36" t="s">
        <v>16</v>
      </c>
      <c r="J36" t="s">
        <v>40</v>
      </c>
      <c r="K36" t="s">
        <v>33</v>
      </c>
      <c r="L36">
        <v>4523.88</v>
      </c>
      <c r="M36" s="2" t="str">
        <f t="shared" si="0"/>
        <v>Apr</v>
      </c>
      <c r="N36" s="2" t="str">
        <f t="shared" si="1"/>
        <v>low</v>
      </c>
      <c r="O36" s="2"/>
    </row>
    <row r="37" spans="1:15">
      <c r="A37" t="s">
        <v>90</v>
      </c>
      <c r="B37" s="1">
        <v>45292</v>
      </c>
      <c r="C37" t="s">
        <v>20</v>
      </c>
      <c r="D37" t="s">
        <v>59</v>
      </c>
      <c r="E37" t="s">
        <v>47</v>
      </c>
      <c r="F37">
        <v>3</v>
      </c>
      <c r="G37">
        <v>3145.77</v>
      </c>
      <c r="H37" s="5">
        <v>0.25</v>
      </c>
      <c r="I37" t="s">
        <v>16</v>
      </c>
      <c r="J37" t="s">
        <v>29</v>
      </c>
      <c r="K37" t="s">
        <v>18</v>
      </c>
      <c r="L37">
        <f>(F37*G37)-(F37*G37)*H37</f>
        <v>7077.9825000000001</v>
      </c>
      <c r="M37" s="2" t="str">
        <f t="shared" si="0"/>
        <v>Jan</v>
      </c>
      <c r="N37" s="2" t="str">
        <f t="shared" si="1"/>
        <v>low</v>
      </c>
      <c r="O37" s="2"/>
    </row>
    <row r="38" spans="1:15">
      <c r="A38" t="s">
        <v>91</v>
      </c>
      <c r="B38" s="1">
        <v>45493</v>
      </c>
      <c r="C38" t="s">
        <v>20</v>
      </c>
      <c r="D38" t="s">
        <v>78</v>
      </c>
      <c r="E38" t="s">
        <v>32</v>
      </c>
      <c r="F38">
        <v>1</v>
      </c>
      <c r="G38">
        <v>2502.2199999999998</v>
      </c>
      <c r="H38" s="5">
        <v>0.1</v>
      </c>
      <c r="I38" t="s">
        <v>16</v>
      </c>
      <c r="J38" t="s">
        <v>49</v>
      </c>
      <c r="K38" t="s">
        <v>33</v>
      </c>
      <c r="L38">
        <v>2252</v>
      </c>
      <c r="M38" s="2" t="str">
        <f t="shared" si="0"/>
        <v>Jul</v>
      </c>
      <c r="N38" s="2" t="str">
        <f t="shared" si="1"/>
        <v>low</v>
      </c>
      <c r="O38" s="2"/>
    </row>
    <row r="39" spans="1:15">
      <c r="A39" t="s">
        <v>92</v>
      </c>
      <c r="B39" s="1">
        <v>45437</v>
      </c>
      <c r="C39" t="s">
        <v>13</v>
      </c>
      <c r="D39" t="s">
        <v>74</v>
      </c>
      <c r="E39" t="s">
        <v>47</v>
      </c>
      <c r="F39">
        <v>6</v>
      </c>
      <c r="G39">
        <v>5006.8500000000004</v>
      </c>
      <c r="H39" s="5">
        <v>0.05</v>
      </c>
      <c r="I39" t="s">
        <v>16</v>
      </c>
      <c r="J39" t="s">
        <v>49</v>
      </c>
      <c r="K39" t="s">
        <v>33</v>
      </c>
      <c r="L39">
        <v>28539.05</v>
      </c>
      <c r="M39" s="2" t="str">
        <f t="shared" si="0"/>
        <v>May</v>
      </c>
      <c r="N39" s="2" t="str">
        <f t="shared" si="1"/>
        <v>high</v>
      </c>
      <c r="O39" s="2"/>
    </row>
    <row r="40" spans="1:15">
      <c r="A40" t="s">
        <v>93</v>
      </c>
      <c r="B40" s="1">
        <v>45643</v>
      </c>
      <c r="C40" t="s">
        <v>25</v>
      </c>
      <c r="D40" t="s">
        <v>94</v>
      </c>
      <c r="E40" t="s">
        <v>32</v>
      </c>
      <c r="F40">
        <v>5</v>
      </c>
      <c r="G40">
        <v>6414.04</v>
      </c>
      <c r="H40" s="5">
        <v>0.1</v>
      </c>
      <c r="I40" t="s">
        <v>16</v>
      </c>
      <c r="J40" t="s">
        <v>17</v>
      </c>
      <c r="K40" t="s">
        <v>18</v>
      </c>
      <c r="L40">
        <v>28863.18</v>
      </c>
      <c r="M40" s="2" t="str">
        <f t="shared" si="0"/>
        <v>Dec</v>
      </c>
      <c r="N40" s="2" t="str">
        <f t="shared" si="1"/>
        <v>high</v>
      </c>
      <c r="O40" s="2"/>
    </row>
    <row r="41" spans="1:15">
      <c r="A41" t="s">
        <v>95</v>
      </c>
      <c r="B41" s="1">
        <v>45542</v>
      </c>
      <c r="C41" t="s">
        <v>35</v>
      </c>
      <c r="D41" t="s">
        <v>36</v>
      </c>
      <c r="E41" t="s">
        <v>1160</v>
      </c>
      <c r="F41">
        <v>3</v>
      </c>
      <c r="G41">
        <v>176.02</v>
      </c>
      <c r="H41" s="5">
        <v>0</v>
      </c>
      <c r="I41" t="s">
        <v>22</v>
      </c>
      <c r="J41" t="s">
        <v>17</v>
      </c>
      <c r="K41" t="s">
        <v>33</v>
      </c>
      <c r="L41">
        <v>528.05999999999995</v>
      </c>
      <c r="M41" s="2" t="str">
        <f t="shared" si="0"/>
        <v>Sep</v>
      </c>
      <c r="N41" s="2" t="str">
        <f t="shared" si="1"/>
        <v>low</v>
      </c>
      <c r="O41" s="2"/>
    </row>
    <row r="42" spans="1:15">
      <c r="A42" t="s">
        <v>96</v>
      </c>
      <c r="B42" s="1">
        <v>45397</v>
      </c>
      <c r="C42" t="s">
        <v>35</v>
      </c>
      <c r="D42" t="s">
        <v>97</v>
      </c>
      <c r="E42" t="s">
        <v>1160</v>
      </c>
      <c r="F42">
        <v>2</v>
      </c>
      <c r="G42">
        <v>5957.65</v>
      </c>
      <c r="H42" s="5">
        <v>0.25</v>
      </c>
      <c r="I42" t="s">
        <v>55</v>
      </c>
      <c r="J42" t="s">
        <v>40</v>
      </c>
      <c r="K42" t="s">
        <v>33</v>
      </c>
      <c r="L42">
        <v>8936.4699999999993</v>
      </c>
      <c r="M42" s="2" t="str">
        <f t="shared" si="0"/>
        <v>Apr</v>
      </c>
      <c r="N42" s="2" t="str">
        <f t="shared" si="1"/>
        <v>low</v>
      </c>
      <c r="O42" s="2"/>
    </row>
    <row r="43" spans="1:15">
      <c r="A43" t="s">
        <v>98</v>
      </c>
      <c r="B43" s="1">
        <v>45461</v>
      </c>
      <c r="C43" t="s">
        <v>35</v>
      </c>
      <c r="D43" t="s">
        <v>36</v>
      </c>
      <c r="E43" t="s">
        <v>47</v>
      </c>
      <c r="F43">
        <v>3</v>
      </c>
      <c r="G43">
        <v>5264.54</v>
      </c>
      <c r="H43" s="5">
        <v>0.1</v>
      </c>
      <c r="I43" t="s">
        <v>28</v>
      </c>
      <c r="J43" t="s">
        <v>40</v>
      </c>
      <c r="K43" t="s">
        <v>33</v>
      </c>
      <c r="L43">
        <v>14214.26</v>
      </c>
      <c r="M43" s="2" t="str">
        <f t="shared" si="0"/>
        <v>Jun</v>
      </c>
      <c r="N43" s="2" t="str">
        <f t="shared" si="1"/>
        <v>medium</v>
      </c>
      <c r="O43" s="2"/>
    </row>
    <row r="44" spans="1:15">
      <c r="A44" t="s">
        <v>99</v>
      </c>
      <c r="B44" s="1">
        <v>45529</v>
      </c>
      <c r="C44" t="s">
        <v>38</v>
      </c>
      <c r="D44" t="s">
        <v>100</v>
      </c>
      <c r="E44" t="s">
        <v>27</v>
      </c>
      <c r="F44">
        <v>4</v>
      </c>
      <c r="G44">
        <v>3810.76</v>
      </c>
      <c r="H44" s="5">
        <v>0</v>
      </c>
      <c r="I44" t="s">
        <v>28</v>
      </c>
      <c r="J44" t="s">
        <v>17</v>
      </c>
      <c r="K44" t="s">
        <v>18</v>
      </c>
      <c r="L44">
        <f>(F44*G44)-(F44*G44)*H44</f>
        <v>15243.04</v>
      </c>
      <c r="M44" s="2" t="str">
        <f t="shared" si="0"/>
        <v>Aug</v>
      </c>
      <c r="N44" s="2" t="str">
        <f t="shared" si="1"/>
        <v>medium</v>
      </c>
      <c r="O44" s="2"/>
    </row>
    <row r="45" spans="1:15">
      <c r="A45" t="s">
        <v>101</v>
      </c>
      <c r="B45" s="1">
        <v>45490</v>
      </c>
      <c r="C45" t="s">
        <v>25</v>
      </c>
      <c r="D45" t="s">
        <v>87</v>
      </c>
      <c r="E45" t="s">
        <v>27</v>
      </c>
      <c r="F45">
        <v>2</v>
      </c>
      <c r="G45">
        <v>7344.96</v>
      </c>
      <c r="H45" s="5">
        <v>0.1</v>
      </c>
      <c r="I45" t="s">
        <v>16</v>
      </c>
      <c r="J45" t="s">
        <v>23</v>
      </c>
      <c r="K45" t="s">
        <v>33</v>
      </c>
      <c r="L45">
        <v>13220.93</v>
      </c>
      <c r="M45" s="2" t="str">
        <f t="shared" si="0"/>
        <v>Jul</v>
      </c>
      <c r="N45" s="2" t="str">
        <f t="shared" si="1"/>
        <v>medium</v>
      </c>
      <c r="O45" s="2"/>
    </row>
    <row r="46" spans="1:15">
      <c r="A46" t="s">
        <v>102</v>
      </c>
      <c r="B46" s="1">
        <v>45546</v>
      </c>
      <c r="C46" t="s">
        <v>35</v>
      </c>
      <c r="D46" t="s">
        <v>97</v>
      </c>
      <c r="E46" t="s">
        <v>1160</v>
      </c>
      <c r="F46">
        <v>4</v>
      </c>
      <c r="G46">
        <v>3243.53</v>
      </c>
      <c r="H46" s="5">
        <v>0.05</v>
      </c>
      <c r="I46" t="s">
        <v>16</v>
      </c>
      <c r="J46" t="s">
        <v>17</v>
      </c>
      <c r="K46" t="s">
        <v>33</v>
      </c>
      <c r="L46">
        <v>12325.41</v>
      </c>
      <c r="M46" s="2" t="str">
        <f t="shared" si="0"/>
        <v>Sep</v>
      </c>
      <c r="N46" s="2" t="str">
        <f t="shared" si="1"/>
        <v>medium</v>
      </c>
      <c r="O46" s="2"/>
    </row>
    <row r="47" spans="1:15">
      <c r="A47" t="s">
        <v>103</v>
      </c>
      <c r="B47" s="1">
        <v>45461</v>
      </c>
      <c r="C47" t="s">
        <v>38</v>
      </c>
      <c r="D47" t="s">
        <v>100</v>
      </c>
      <c r="E47" t="s">
        <v>53</v>
      </c>
      <c r="F47">
        <v>1</v>
      </c>
      <c r="G47">
        <v>2697.7</v>
      </c>
      <c r="H47" s="5">
        <v>0.15</v>
      </c>
      <c r="I47" t="s">
        <v>55</v>
      </c>
      <c r="J47" t="s">
        <v>29</v>
      </c>
      <c r="K47" t="s">
        <v>33</v>
      </c>
      <c r="L47">
        <v>2293.04</v>
      </c>
      <c r="M47" s="2" t="str">
        <f t="shared" si="0"/>
        <v>Jun</v>
      </c>
      <c r="N47" s="2" t="str">
        <f t="shared" si="1"/>
        <v>low</v>
      </c>
      <c r="O47" s="2"/>
    </row>
    <row r="48" spans="1:15">
      <c r="A48" t="s">
        <v>104</v>
      </c>
      <c r="B48" s="1">
        <v>45491</v>
      </c>
      <c r="C48" t="s">
        <v>13</v>
      </c>
      <c r="D48" t="s">
        <v>76</v>
      </c>
      <c r="E48" t="s">
        <v>15</v>
      </c>
      <c r="F48">
        <v>5</v>
      </c>
      <c r="G48">
        <v>749.75</v>
      </c>
      <c r="H48" s="5">
        <v>0.2</v>
      </c>
      <c r="I48" t="s">
        <v>16</v>
      </c>
      <c r="J48" t="s">
        <v>23</v>
      </c>
      <c r="K48" t="s">
        <v>33</v>
      </c>
      <c r="L48">
        <v>2999</v>
      </c>
      <c r="M48" s="2" t="str">
        <f t="shared" si="0"/>
        <v>Jul</v>
      </c>
      <c r="N48" s="2" t="str">
        <f t="shared" si="1"/>
        <v>low</v>
      </c>
      <c r="O48" s="2"/>
    </row>
    <row r="49" spans="1:15">
      <c r="A49" t="s">
        <v>105</v>
      </c>
      <c r="B49" s="1">
        <v>45389</v>
      </c>
      <c r="C49" t="s">
        <v>13</v>
      </c>
      <c r="D49" t="s">
        <v>74</v>
      </c>
      <c r="E49" t="s">
        <v>80</v>
      </c>
      <c r="F49">
        <v>3</v>
      </c>
      <c r="G49">
        <v>6313.37</v>
      </c>
      <c r="H49" s="5">
        <v>0.2</v>
      </c>
      <c r="I49" t="s">
        <v>16</v>
      </c>
      <c r="J49" t="s">
        <v>49</v>
      </c>
      <c r="K49" t="s">
        <v>33</v>
      </c>
      <c r="L49">
        <v>15152.09</v>
      </c>
      <c r="M49" s="2" t="str">
        <f t="shared" si="0"/>
        <v>Apr</v>
      </c>
      <c r="N49" s="2" t="str">
        <f t="shared" si="1"/>
        <v>medium</v>
      </c>
      <c r="O49" s="2"/>
    </row>
    <row r="50" spans="1:15">
      <c r="A50" t="s">
        <v>106</v>
      </c>
      <c r="B50" s="1">
        <v>45522</v>
      </c>
      <c r="C50" t="s">
        <v>35</v>
      </c>
      <c r="D50" t="s">
        <v>68</v>
      </c>
      <c r="E50" t="s">
        <v>15</v>
      </c>
      <c r="F50">
        <v>5</v>
      </c>
      <c r="G50">
        <v>6058.44</v>
      </c>
      <c r="H50" s="5">
        <v>0.1</v>
      </c>
      <c r="I50" t="s">
        <v>55</v>
      </c>
      <c r="J50" t="s">
        <v>29</v>
      </c>
      <c r="K50" t="s">
        <v>33</v>
      </c>
      <c r="L50">
        <v>27262.98</v>
      </c>
      <c r="M50" s="2" t="str">
        <f t="shared" si="0"/>
        <v>Aug</v>
      </c>
      <c r="N50" s="2" t="str">
        <f t="shared" si="1"/>
        <v>high</v>
      </c>
      <c r="O50" s="2"/>
    </row>
    <row r="51" spans="1:15">
      <c r="A51" t="s">
        <v>107</v>
      </c>
      <c r="B51" s="1">
        <v>45499</v>
      </c>
      <c r="C51" t="s">
        <v>13</v>
      </c>
      <c r="D51" t="s">
        <v>108</v>
      </c>
      <c r="E51" t="s">
        <v>27</v>
      </c>
      <c r="F51">
        <v>6</v>
      </c>
      <c r="G51">
        <v>2023.52</v>
      </c>
      <c r="H51" s="5">
        <v>0.25</v>
      </c>
      <c r="I51" t="s">
        <v>28</v>
      </c>
      <c r="J51" t="s">
        <v>49</v>
      </c>
      <c r="K51" t="s">
        <v>33</v>
      </c>
      <c r="L51">
        <v>9105.84</v>
      </c>
      <c r="M51" s="2" t="str">
        <f t="shared" si="0"/>
        <v>Jul</v>
      </c>
      <c r="N51" s="2" t="str">
        <f t="shared" si="1"/>
        <v>low</v>
      </c>
      <c r="O51" s="2"/>
    </row>
    <row r="52" spans="1:15">
      <c r="A52" t="s">
        <v>109</v>
      </c>
      <c r="B52" s="1">
        <v>45462</v>
      </c>
      <c r="C52" t="s">
        <v>25</v>
      </c>
      <c r="D52" t="s">
        <v>26</v>
      </c>
      <c r="E52" t="s">
        <v>44</v>
      </c>
      <c r="F52">
        <v>4</v>
      </c>
      <c r="G52">
        <v>3505.27</v>
      </c>
      <c r="H52" s="5">
        <v>0.1</v>
      </c>
      <c r="I52" t="s">
        <v>16</v>
      </c>
      <c r="J52" t="s">
        <v>29</v>
      </c>
      <c r="K52" t="s">
        <v>33</v>
      </c>
      <c r="L52">
        <v>12618.97</v>
      </c>
      <c r="M52" s="2" t="str">
        <f t="shared" si="0"/>
        <v>Jun</v>
      </c>
      <c r="N52" s="2" t="str">
        <f t="shared" si="1"/>
        <v>medium</v>
      </c>
      <c r="O52" s="2"/>
    </row>
    <row r="53" spans="1:15">
      <c r="A53" t="s">
        <v>110</v>
      </c>
      <c r="B53" s="1">
        <v>45503</v>
      </c>
      <c r="C53" t="s">
        <v>35</v>
      </c>
      <c r="D53" t="s">
        <v>65</v>
      </c>
      <c r="E53" t="s">
        <v>15</v>
      </c>
      <c r="F53">
        <v>6</v>
      </c>
      <c r="G53">
        <v>4264.72</v>
      </c>
      <c r="H53" s="5">
        <v>0.2</v>
      </c>
      <c r="I53" t="s">
        <v>16</v>
      </c>
      <c r="J53" t="s">
        <v>23</v>
      </c>
      <c r="K53" t="s">
        <v>33</v>
      </c>
      <c r="L53">
        <v>20470.66</v>
      </c>
      <c r="M53" s="2" t="str">
        <f t="shared" si="0"/>
        <v>Jul</v>
      </c>
      <c r="N53" s="2" t="str">
        <f t="shared" si="1"/>
        <v>high</v>
      </c>
      <c r="O53" s="2"/>
    </row>
    <row r="54" spans="1:15">
      <c r="A54" t="s">
        <v>111</v>
      </c>
      <c r="B54" s="1">
        <v>45488</v>
      </c>
      <c r="C54" t="s">
        <v>35</v>
      </c>
      <c r="D54" t="s">
        <v>97</v>
      </c>
      <c r="E54" t="s">
        <v>1160</v>
      </c>
      <c r="F54">
        <v>4</v>
      </c>
      <c r="G54">
        <v>5219.46</v>
      </c>
      <c r="H54" s="5">
        <v>0.2</v>
      </c>
      <c r="I54" t="s">
        <v>16</v>
      </c>
      <c r="J54" t="s">
        <v>17</v>
      </c>
      <c r="K54" t="s">
        <v>33</v>
      </c>
      <c r="L54">
        <v>16702.27</v>
      </c>
      <c r="M54" s="2" t="str">
        <f t="shared" si="0"/>
        <v>Jul</v>
      </c>
      <c r="N54" s="2" t="str">
        <f t="shared" si="1"/>
        <v>medium</v>
      </c>
      <c r="O54" s="2"/>
    </row>
    <row r="55" spans="1:15">
      <c r="A55" t="s">
        <v>112</v>
      </c>
      <c r="B55" s="1">
        <v>45562</v>
      </c>
      <c r="C55" t="s">
        <v>35</v>
      </c>
      <c r="D55" t="s">
        <v>68</v>
      </c>
      <c r="E55" t="s">
        <v>15</v>
      </c>
      <c r="F55">
        <v>4</v>
      </c>
      <c r="G55">
        <v>7782.09</v>
      </c>
      <c r="H55" s="5">
        <v>0.1</v>
      </c>
      <c r="I55" t="s">
        <v>16</v>
      </c>
      <c r="J55" t="s">
        <v>17</v>
      </c>
      <c r="K55" t="s">
        <v>18</v>
      </c>
      <c r="L55">
        <v>28015.52</v>
      </c>
      <c r="M55" s="2" t="str">
        <f t="shared" si="0"/>
        <v>Sep</v>
      </c>
      <c r="N55" s="2" t="str">
        <f t="shared" si="1"/>
        <v>high</v>
      </c>
      <c r="O55" s="2"/>
    </row>
    <row r="56" spans="1:15">
      <c r="A56" t="s">
        <v>113</v>
      </c>
      <c r="B56" s="1">
        <v>45356</v>
      </c>
      <c r="C56" t="s">
        <v>25</v>
      </c>
      <c r="D56" t="s">
        <v>31</v>
      </c>
      <c r="E56" t="s">
        <v>32</v>
      </c>
      <c r="F56">
        <v>2</v>
      </c>
      <c r="G56">
        <v>4619.6499999999996</v>
      </c>
      <c r="H56" s="5">
        <v>0</v>
      </c>
      <c r="I56" t="s">
        <v>22</v>
      </c>
      <c r="J56" t="s">
        <v>17</v>
      </c>
      <c r="K56" t="s">
        <v>18</v>
      </c>
      <c r="L56">
        <v>9239.2999999999993</v>
      </c>
      <c r="M56" s="2" t="str">
        <f t="shared" si="0"/>
        <v>Mar</v>
      </c>
      <c r="N56" s="2" t="str">
        <f t="shared" si="1"/>
        <v>low</v>
      </c>
      <c r="O56" s="2"/>
    </row>
    <row r="57" spans="1:15">
      <c r="A57" t="s">
        <v>114</v>
      </c>
      <c r="B57" s="1">
        <v>45560</v>
      </c>
      <c r="C57" t="s">
        <v>35</v>
      </c>
      <c r="D57" t="s">
        <v>68</v>
      </c>
      <c r="E57" t="s">
        <v>27</v>
      </c>
      <c r="F57">
        <v>5</v>
      </c>
      <c r="G57">
        <v>1654.86</v>
      </c>
      <c r="H57" s="5">
        <v>0.1</v>
      </c>
      <c r="I57" t="s">
        <v>16</v>
      </c>
      <c r="J57" t="s">
        <v>29</v>
      </c>
      <c r="K57" t="s">
        <v>33</v>
      </c>
      <c r="L57">
        <v>7446.87</v>
      </c>
      <c r="M57" s="2" t="str">
        <f t="shared" si="0"/>
        <v>Sep</v>
      </c>
      <c r="N57" s="2" t="str">
        <f t="shared" si="1"/>
        <v>low</v>
      </c>
      <c r="O57" s="2"/>
    </row>
    <row r="58" spans="1:15">
      <c r="A58" t="s">
        <v>115</v>
      </c>
      <c r="B58" s="1">
        <v>45572</v>
      </c>
      <c r="C58" t="s">
        <v>20</v>
      </c>
      <c r="D58" t="s">
        <v>78</v>
      </c>
      <c r="E58" t="s">
        <v>1160</v>
      </c>
      <c r="F58">
        <v>2</v>
      </c>
      <c r="G58">
        <v>379.85</v>
      </c>
      <c r="H58" s="5">
        <v>0.2</v>
      </c>
      <c r="I58" t="s">
        <v>22</v>
      </c>
      <c r="J58" t="s">
        <v>17</v>
      </c>
      <c r="K58" t="s">
        <v>18</v>
      </c>
      <c r="L58">
        <v>607.76</v>
      </c>
      <c r="M58" s="2" t="str">
        <f t="shared" si="0"/>
        <v>Oct</v>
      </c>
      <c r="N58" s="2" t="str">
        <f t="shared" si="1"/>
        <v>low</v>
      </c>
      <c r="O58" s="2"/>
    </row>
    <row r="59" spans="1:15">
      <c r="A59" t="s">
        <v>116</v>
      </c>
      <c r="B59" s="1">
        <v>45481</v>
      </c>
      <c r="C59" t="s">
        <v>13</v>
      </c>
      <c r="D59" t="s">
        <v>14</v>
      </c>
      <c r="E59" t="s">
        <v>15</v>
      </c>
      <c r="F59">
        <v>2</v>
      </c>
      <c r="G59">
        <v>4019.61</v>
      </c>
      <c r="H59" s="5">
        <v>0.15</v>
      </c>
      <c r="I59" t="s">
        <v>22</v>
      </c>
      <c r="J59" t="s">
        <v>49</v>
      </c>
      <c r="K59" t="s">
        <v>18</v>
      </c>
      <c r="L59">
        <v>6833.34</v>
      </c>
      <c r="M59" s="2" t="str">
        <f t="shared" si="0"/>
        <v>Jul</v>
      </c>
      <c r="N59" s="2" t="str">
        <f t="shared" si="1"/>
        <v>low</v>
      </c>
      <c r="O59" s="2"/>
    </row>
    <row r="60" spans="1:15">
      <c r="A60" t="s">
        <v>117</v>
      </c>
      <c r="B60" s="1">
        <v>45451</v>
      </c>
      <c r="C60" t="s">
        <v>20</v>
      </c>
      <c r="D60" t="s">
        <v>78</v>
      </c>
      <c r="E60" t="s">
        <v>1160</v>
      </c>
      <c r="F60">
        <v>2</v>
      </c>
      <c r="G60">
        <v>1961.85</v>
      </c>
      <c r="H60" s="5">
        <v>0.1</v>
      </c>
      <c r="I60" t="s">
        <v>16</v>
      </c>
      <c r="J60" t="s">
        <v>23</v>
      </c>
      <c r="K60" t="s">
        <v>33</v>
      </c>
      <c r="L60">
        <v>3531.33</v>
      </c>
      <c r="M60" s="2" t="str">
        <f t="shared" si="0"/>
        <v>Jun</v>
      </c>
      <c r="N60" s="2" t="str">
        <f t="shared" si="1"/>
        <v>low</v>
      </c>
      <c r="O60" s="2"/>
    </row>
    <row r="61" spans="1:15">
      <c r="A61" t="s">
        <v>118</v>
      </c>
      <c r="B61" s="1">
        <v>45596</v>
      </c>
      <c r="C61" t="s">
        <v>38</v>
      </c>
      <c r="D61" t="s">
        <v>39</v>
      </c>
      <c r="E61" t="s">
        <v>32</v>
      </c>
      <c r="F61">
        <v>2</v>
      </c>
      <c r="G61">
        <v>7387.1</v>
      </c>
      <c r="H61" s="5">
        <v>0</v>
      </c>
      <c r="I61" t="s">
        <v>16</v>
      </c>
      <c r="J61" t="s">
        <v>23</v>
      </c>
      <c r="K61" t="s">
        <v>33</v>
      </c>
      <c r="L61">
        <v>14774.2</v>
      </c>
      <c r="M61" s="2" t="str">
        <f t="shared" si="0"/>
        <v>Oct</v>
      </c>
      <c r="N61" s="2" t="str">
        <f t="shared" si="1"/>
        <v>medium</v>
      </c>
      <c r="O61" s="2"/>
    </row>
    <row r="62" spans="1:15">
      <c r="A62" t="s">
        <v>119</v>
      </c>
      <c r="B62" s="1">
        <v>45332</v>
      </c>
      <c r="C62" t="s">
        <v>38</v>
      </c>
      <c r="D62" t="s">
        <v>100</v>
      </c>
      <c r="E62" t="s">
        <v>53</v>
      </c>
      <c r="F62">
        <v>2</v>
      </c>
      <c r="G62">
        <v>2734.56</v>
      </c>
      <c r="H62" s="5">
        <v>0.05</v>
      </c>
      <c r="I62" t="s">
        <v>22</v>
      </c>
      <c r="J62" t="s">
        <v>17</v>
      </c>
      <c r="K62" t="s">
        <v>33</v>
      </c>
      <c r="L62">
        <v>5195.66</v>
      </c>
      <c r="M62" s="2" t="str">
        <f t="shared" si="0"/>
        <v>Feb</v>
      </c>
      <c r="N62" s="2" t="str">
        <f t="shared" si="1"/>
        <v>low</v>
      </c>
      <c r="O62" s="2"/>
    </row>
    <row r="63" spans="1:15">
      <c r="A63" t="s">
        <v>120</v>
      </c>
      <c r="B63" s="1">
        <v>45347</v>
      </c>
      <c r="C63" t="s">
        <v>13</v>
      </c>
      <c r="D63" t="s">
        <v>74</v>
      </c>
      <c r="E63" t="s">
        <v>47</v>
      </c>
      <c r="F63">
        <v>1</v>
      </c>
      <c r="G63">
        <v>764.2</v>
      </c>
      <c r="H63" s="5">
        <v>0</v>
      </c>
      <c r="I63" t="s">
        <v>16</v>
      </c>
      <c r="J63" t="s">
        <v>17</v>
      </c>
      <c r="K63" t="s">
        <v>33</v>
      </c>
      <c r="L63">
        <v>764.2</v>
      </c>
      <c r="M63" s="2" t="str">
        <f t="shared" si="0"/>
        <v>Feb</v>
      </c>
      <c r="N63" s="2" t="str">
        <f t="shared" si="1"/>
        <v>low</v>
      </c>
      <c r="O63" s="2"/>
    </row>
    <row r="64" spans="1:15">
      <c r="A64" t="s">
        <v>121</v>
      </c>
      <c r="B64" s="1">
        <v>45317</v>
      </c>
      <c r="C64" t="s">
        <v>13</v>
      </c>
      <c r="D64" t="s">
        <v>74</v>
      </c>
      <c r="E64" t="s">
        <v>53</v>
      </c>
      <c r="F64">
        <v>6</v>
      </c>
      <c r="G64">
        <v>3866.69</v>
      </c>
      <c r="H64" s="5">
        <v>0.15</v>
      </c>
      <c r="I64" t="s">
        <v>28</v>
      </c>
      <c r="J64" t="s">
        <v>40</v>
      </c>
      <c r="K64" t="s">
        <v>33</v>
      </c>
      <c r="L64">
        <v>19720.12</v>
      </c>
      <c r="M64" s="2" t="str">
        <f t="shared" si="0"/>
        <v>Jan</v>
      </c>
      <c r="N64" s="2" t="str">
        <f t="shared" si="1"/>
        <v>medium</v>
      </c>
      <c r="O64" s="2"/>
    </row>
    <row r="65" spans="1:15">
      <c r="A65" t="s">
        <v>122</v>
      </c>
      <c r="B65" s="1">
        <v>45484</v>
      </c>
      <c r="C65" t="s">
        <v>20</v>
      </c>
      <c r="D65" t="s">
        <v>78</v>
      </c>
      <c r="E65" t="s">
        <v>32</v>
      </c>
      <c r="F65">
        <v>1</v>
      </c>
      <c r="G65">
        <v>3792.8</v>
      </c>
      <c r="H65" s="5">
        <v>0</v>
      </c>
      <c r="I65" t="s">
        <v>16</v>
      </c>
      <c r="J65" t="s">
        <v>29</v>
      </c>
      <c r="K65" t="s">
        <v>18</v>
      </c>
      <c r="L65">
        <v>3792.8</v>
      </c>
      <c r="M65" s="2" t="str">
        <f t="shared" si="0"/>
        <v>Jul</v>
      </c>
      <c r="N65" s="2" t="str">
        <f t="shared" si="1"/>
        <v>low</v>
      </c>
      <c r="O65" s="2"/>
    </row>
    <row r="66" spans="1:15">
      <c r="A66" t="s">
        <v>123</v>
      </c>
      <c r="B66" s="1">
        <v>45444</v>
      </c>
      <c r="C66" t="s">
        <v>13</v>
      </c>
      <c r="D66" t="s">
        <v>108</v>
      </c>
      <c r="E66" t="s">
        <v>27</v>
      </c>
      <c r="F66">
        <v>1</v>
      </c>
      <c r="G66">
        <v>5814.34</v>
      </c>
      <c r="H66" s="5">
        <v>0</v>
      </c>
      <c r="I66" t="s">
        <v>16</v>
      </c>
      <c r="J66" t="s">
        <v>17</v>
      </c>
      <c r="K66" t="s">
        <v>33</v>
      </c>
      <c r="L66">
        <v>5814.34</v>
      </c>
      <c r="M66" s="2" t="str">
        <f t="shared" ref="M66:M129" si="2">TEXT(B66,"mmm")</f>
        <v>Jun</v>
      </c>
      <c r="N66" s="2" t="str">
        <f t="shared" ref="N66:N129" si="3">IF(L66&gt;20000,"high",IF(L66&gt;10000,"medium","low"))</f>
        <v>low</v>
      </c>
      <c r="O66" s="2"/>
    </row>
    <row r="67" spans="1:15">
      <c r="A67" t="s">
        <v>124</v>
      </c>
      <c r="B67" s="1">
        <v>45546</v>
      </c>
      <c r="C67" t="s">
        <v>38</v>
      </c>
      <c r="D67" t="s">
        <v>39</v>
      </c>
      <c r="E67" t="s">
        <v>47</v>
      </c>
      <c r="F67">
        <v>2</v>
      </c>
      <c r="G67">
        <v>218.34</v>
      </c>
      <c r="H67" s="5">
        <v>0.1</v>
      </c>
      <c r="I67" t="s">
        <v>22</v>
      </c>
      <c r="J67" t="s">
        <v>29</v>
      </c>
      <c r="K67" t="s">
        <v>18</v>
      </c>
      <c r="L67">
        <v>393.01</v>
      </c>
      <c r="M67" s="2" t="str">
        <f t="shared" si="2"/>
        <v>Sep</v>
      </c>
      <c r="N67" s="2" t="str">
        <f t="shared" si="3"/>
        <v>low</v>
      </c>
      <c r="O67" s="2"/>
    </row>
    <row r="68" spans="1:15">
      <c r="A68" t="s">
        <v>125</v>
      </c>
      <c r="B68" s="1">
        <v>45373</v>
      </c>
      <c r="C68" t="s">
        <v>25</v>
      </c>
      <c r="D68" t="s">
        <v>26</v>
      </c>
      <c r="E68" t="s">
        <v>15</v>
      </c>
      <c r="F68">
        <v>2</v>
      </c>
      <c r="G68">
        <v>3350.89</v>
      </c>
      <c r="H68" s="5">
        <v>0</v>
      </c>
      <c r="I68" t="s">
        <v>55</v>
      </c>
      <c r="J68" t="s">
        <v>40</v>
      </c>
      <c r="K68" t="s">
        <v>33</v>
      </c>
      <c r="L68">
        <v>6701.78</v>
      </c>
      <c r="M68" s="2" t="str">
        <f t="shared" si="2"/>
        <v>Mar</v>
      </c>
      <c r="N68" s="2" t="str">
        <f t="shared" si="3"/>
        <v>low</v>
      </c>
      <c r="O68" s="2"/>
    </row>
    <row r="69" spans="1:15">
      <c r="A69" t="s">
        <v>126</v>
      </c>
      <c r="B69" s="1">
        <v>45341</v>
      </c>
      <c r="C69" t="s">
        <v>25</v>
      </c>
      <c r="D69" t="s">
        <v>31</v>
      </c>
      <c r="E69" t="s">
        <v>1160</v>
      </c>
      <c r="F69">
        <v>4</v>
      </c>
      <c r="G69">
        <v>4063.03</v>
      </c>
      <c r="H69" s="5">
        <v>0.25</v>
      </c>
      <c r="I69" t="s">
        <v>16</v>
      </c>
      <c r="J69" t="s">
        <v>49</v>
      </c>
      <c r="K69" t="s">
        <v>18</v>
      </c>
      <c r="L69">
        <v>12189.09</v>
      </c>
      <c r="M69" s="2" t="str">
        <f t="shared" si="2"/>
        <v>Feb</v>
      </c>
      <c r="N69" s="2" t="str">
        <f t="shared" si="3"/>
        <v>medium</v>
      </c>
      <c r="O69" s="2"/>
    </row>
    <row r="70" spans="1:15">
      <c r="A70" t="s">
        <v>127</v>
      </c>
      <c r="B70" s="1">
        <v>45582</v>
      </c>
      <c r="C70" t="s">
        <v>13</v>
      </c>
      <c r="D70" t="s">
        <v>108</v>
      </c>
      <c r="E70" t="s">
        <v>27</v>
      </c>
      <c r="F70">
        <v>3</v>
      </c>
      <c r="G70">
        <v>3077.82</v>
      </c>
      <c r="H70" s="5">
        <v>0.1</v>
      </c>
      <c r="I70" t="s">
        <v>16</v>
      </c>
      <c r="J70" t="s">
        <v>49</v>
      </c>
      <c r="K70" t="s">
        <v>33</v>
      </c>
      <c r="L70">
        <v>8310.11</v>
      </c>
      <c r="M70" s="2" t="str">
        <f t="shared" si="2"/>
        <v>Oct</v>
      </c>
      <c r="N70" s="2" t="str">
        <f t="shared" si="3"/>
        <v>low</v>
      </c>
      <c r="O70" s="2"/>
    </row>
    <row r="71" spans="1:15">
      <c r="A71" t="s">
        <v>128</v>
      </c>
      <c r="B71" s="1">
        <v>45420</v>
      </c>
      <c r="C71" t="s">
        <v>13</v>
      </c>
      <c r="D71" t="s">
        <v>76</v>
      </c>
      <c r="E71" t="s">
        <v>15</v>
      </c>
      <c r="F71">
        <v>2</v>
      </c>
      <c r="G71">
        <v>4132.5</v>
      </c>
      <c r="H71" s="5">
        <v>0.1</v>
      </c>
      <c r="I71" t="s">
        <v>22</v>
      </c>
      <c r="J71" t="s">
        <v>17</v>
      </c>
      <c r="K71" t="s">
        <v>33</v>
      </c>
      <c r="L71">
        <v>7438.5</v>
      </c>
      <c r="M71" s="2" t="str">
        <f t="shared" si="2"/>
        <v>May</v>
      </c>
      <c r="N71" s="2" t="str">
        <f t="shared" si="3"/>
        <v>low</v>
      </c>
      <c r="O71" s="2"/>
    </row>
    <row r="72" spans="1:15">
      <c r="A72" t="s">
        <v>129</v>
      </c>
      <c r="B72" s="1">
        <v>45442</v>
      </c>
      <c r="C72" t="s">
        <v>38</v>
      </c>
      <c r="D72" t="s">
        <v>100</v>
      </c>
      <c r="E72" t="s">
        <v>32</v>
      </c>
      <c r="F72">
        <v>2</v>
      </c>
      <c r="G72">
        <v>1085.8499999999999</v>
      </c>
      <c r="H72" s="5">
        <v>0.1</v>
      </c>
      <c r="I72" t="s">
        <v>28</v>
      </c>
      <c r="J72" t="s">
        <v>23</v>
      </c>
      <c r="K72" t="s">
        <v>33</v>
      </c>
      <c r="L72">
        <v>1954.53</v>
      </c>
      <c r="M72" s="2" t="str">
        <f t="shared" si="2"/>
        <v>May</v>
      </c>
      <c r="N72" s="2" t="str">
        <f t="shared" si="3"/>
        <v>low</v>
      </c>
      <c r="O72" s="2"/>
    </row>
    <row r="73" spans="1:15">
      <c r="A73" t="s">
        <v>130</v>
      </c>
      <c r="B73" s="1">
        <v>45346</v>
      </c>
      <c r="C73" t="s">
        <v>25</v>
      </c>
      <c r="D73" t="s">
        <v>46</v>
      </c>
      <c r="E73" t="s">
        <v>32</v>
      </c>
      <c r="F73">
        <v>6</v>
      </c>
      <c r="G73">
        <v>4829.75</v>
      </c>
      <c r="H73" s="5">
        <v>0.15</v>
      </c>
      <c r="I73" t="s">
        <v>16</v>
      </c>
      <c r="J73" t="s">
        <v>40</v>
      </c>
      <c r="K73" t="s">
        <v>33</v>
      </c>
      <c r="L73">
        <v>24631.72</v>
      </c>
      <c r="M73" s="2" t="str">
        <f t="shared" si="2"/>
        <v>Feb</v>
      </c>
      <c r="N73" s="2" t="str">
        <f t="shared" si="3"/>
        <v>high</v>
      </c>
      <c r="O73" s="2"/>
    </row>
    <row r="74" spans="1:15">
      <c r="A74" t="s">
        <v>131</v>
      </c>
      <c r="B74" s="1">
        <v>45639</v>
      </c>
      <c r="C74" t="s">
        <v>35</v>
      </c>
      <c r="D74" t="s">
        <v>97</v>
      </c>
      <c r="E74" t="s">
        <v>15</v>
      </c>
      <c r="F74">
        <v>3</v>
      </c>
      <c r="G74">
        <v>1603.39</v>
      </c>
      <c r="H74" s="5">
        <v>0.1</v>
      </c>
      <c r="I74" t="s">
        <v>16</v>
      </c>
      <c r="J74" t="s">
        <v>40</v>
      </c>
      <c r="K74" t="s">
        <v>33</v>
      </c>
      <c r="L74">
        <v>4329.1499999999996</v>
      </c>
      <c r="M74" s="2" t="str">
        <f t="shared" si="2"/>
        <v>Dec</v>
      </c>
      <c r="N74" s="2" t="str">
        <f t="shared" si="3"/>
        <v>low</v>
      </c>
      <c r="O74" s="2"/>
    </row>
    <row r="75" spans="1:15">
      <c r="A75" t="s">
        <v>132</v>
      </c>
      <c r="B75" s="1">
        <v>45626</v>
      </c>
      <c r="C75" t="s">
        <v>25</v>
      </c>
      <c r="D75" t="s">
        <v>26</v>
      </c>
      <c r="E75" t="s">
        <v>53</v>
      </c>
      <c r="F75">
        <v>2</v>
      </c>
      <c r="G75">
        <v>3272.51</v>
      </c>
      <c r="H75" s="5">
        <v>0.1</v>
      </c>
      <c r="I75" t="s">
        <v>55</v>
      </c>
      <c r="J75" t="s">
        <v>49</v>
      </c>
      <c r="K75" t="s">
        <v>33</v>
      </c>
      <c r="L75">
        <v>5890.52</v>
      </c>
      <c r="M75" s="2" t="str">
        <f t="shared" si="2"/>
        <v>Nov</v>
      </c>
      <c r="N75" s="2" t="str">
        <f t="shared" si="3"/>
        <v>low</v>
      </c>
      <c r="O75" s="2"/>
    </row>
    <row r="76" spans="1:15">
      <c r="A76" t="s">
        <v>133</v>
      </c>
      <c r="B76" s="1">
        <v>45478</v>
      </c>
      <c r="C76" t="s">
        <v>38</v>
      </c>
      <c r="D76" t="s">
        <v>39</v>
      </c>
      <c r="E76" t="s">
        <v>32</v>
      </c>
      <c r="F76">
        <v>6</v>
      </c>
      <c r="G76">
        <v>1698.03</v>
      </c>
      <c r="H76" s="5">
        <v>0.2</v>
      </c>
      <c r="I76" t="s">
        <v>16</v>
      </c>
      <c r="J76" t="s">
        <v>40</v>
      </c>
      <c r="K76" t="s">
        <v>33</v>
      </c>
      <c r="L76">
        <v>8150.54</v>
      </c>
      <c r="M76" s="2" t="str">
        <f t="shared" si="2"/>
        <v>Jul</v>
      </c>
      <c r="N76" s="2" t="str">
        <f t="shared" si="3"/>
        <v>low</v>
      </c>
      <c r="O76" s="2"/>
    </row>
    <row r="77" spans="1:15">
      <c r="A77" t="s">
        <v>134</v>
      </c>
      <c r="B77" s="1">
        <v>45375</v>
      </c>
      <c r="C77" t="s">
        <v>25</v>
      </c>
      <c r="D77" t="s">
        <v>46</v>
      </c>
      <c r="E77" t="s">
        <v>44</v>
      </c>
      <c r="F77">
        <v>2</v>
      </c>
      <c r="G77">
        <v>266.45</v>
      </c>
      <c r="H77" s="5">
        <v>0.05</v>
      </c>
      <c r="I77" t="s">
        <v>22</v>
      </c>
      <c r="J77" t="s">
        <v>49</v>
      </c>
      <c r="K77" t="s">
        <v>33</v>
      </c>
      <c r="L77">
        <v>506.25</v>
      </c>
      <c r="M77" s="2" t="str">
        <f t="shared" si="2"/>
        <v>Mar</v>
      </c>
      <c r="N77" s="2" t="str">
        <f t="shared" si="3"/>
        <v>low</v>
      </c>
      <c r="O77" s="2"/>
    </row>
    <row r="78" spans="1:15">
      <c r="A78" t="s">
        <v>135</v>
      </c>
      <c r="B78" s="1">
        <v>45374</v>
      </c>
      <c r="C78" t="s">
        <v>20</v>
      </c>
      <c r="D78" t="s">
        <v>59</v>
      </c>
      <c r="E78" t="s">
        <v>27</v>
      </c>
      <c r="F78">
        <v>5</v>
      </c>
      <c r="G78">
        <v>1498.51</v>
      </c>
      <c r="H78" s="5">
        <v>0</v>
      </c>
      <c r="I78" t="s">
        <v>16</v>
      </c>
      <c r="J78" t="s">
        <v>29</v>
      </c>
      <c r="K78" t="s">
        <v>33</v>
      </c>
      <c r="L78">
        <v>7492.55</v>
      </c>
      <c r="M78" s="2" t="str">
        <f t="shared" si="2"/>
        <v>Mar</v>
      </c>
      <c r="N78" s="2" t="str">
        <f t="shared" si="3"/>
        <v>low</v>
      </c>
      <c r="O78" s="2"/>
    </row>
    <row r="79" spans="1:15">
      <c r="A79" t="s">
        <v>136</v>
      </c>
      <c r="B79" s="1">
        <v>45319</v>
      </c>
      <c r="C79" t="s">
        <v>35</v>
      </c>
      <c r="D79" t="s">
        <v>65</v>
      </c>
      <c r="E79" t="s">
        <v>80</v>
      </c>
      <c r="F79">
        <v>5</v>
      </c>
      <c r="G79">
        <v>7420.42</v>
      </c>
      <c r="H79" s="5">
        <v>0.2</v>
      </c>
      <c r="I79" t="s">
        <v>16</v>
      </c>
      <c r="J79" t="s">
        <v>23</v>
      </c>
      <c r="K79" t="s">
        <v>33</v>
      </c>
      <c r="L79">
        <v>29681.68</v>
      </c>
      <c r="M79" s="2" t="str">
        <f t="shared" si="2"/>
        <v>Jan</v>
      </c>
      <c r="N79" s="2" t="str">
        <f t="shared" si="3"/>
        <v>high</v>
      </c>
      <c r="O79" s="2"/>
    </row>
    <row r="80" spans="1:15">
      <c r="A80" t="s">
        <v>137</v>
      </c>
      <c r="B80" s="1">
        <v>45385</v>
      </c>
      <c r="C80" t="s">
        <v>25</v>
      </c>
      <c r="D80" t="s">
        <v>26</v>
      </c>
      <c r="E80" t="s">
        <v>44</v>
      </c>
      <c r="F80">
        <v>5</v>
      </c>
      <c r="G80">
        <v>1862.37</v>
      </c>
      <c r="H80" s="5">
        <v>0.2</v>
      </c>
      <c r="I80" t="s">
        <v>28</v>
      </c>
      <c r="J80" t="s">
        <v>23</v>
      </c>
      <c r="K80" t="s">
        <v>18</v>
      </c>
      <c r="L80">
        <v>7449.48</v>
      </c>
      <c r="M80" s="2" t="str">
        <f t="shared" si="2"/>
        <v>Apr</v>
      </c>
      <c r="N80" s="2" t="str">
        <f t="shared" si="3"/>
        <v>low</v>
      </c>
      <c r="O80" s="2"/>
    </row>
    <row r="81" spans="1:15">
      <c r="A81" t="s">
        <v>138</v>
      </c>
      <c r="B81" s="1">
        <v>45352</v>
      </c>
      <c r="C81" t="s">
        <v>25</v>
      </c>
      <c r="D81" t="s">
        <v>31</v>
      </c>
      <c r="E81" t="s">
        <v>80</v>
      </c>
      <c r="F81">
        <v>4</v>
      </c>
      <c r="G81">
        <v>4856.2299999999996</v>
      </c>
      <c r="H81" s="5">
        <v>0.1</v>
      </c>
      <c r="I81" t="s">
        <v>22</v>
      </c>
      <c r="J81" t="s">
        <v>17</v>
      </c>
      <c r="K81" t="s">
        <v>33</v>
      </c>
      <c r="L81">
        <v>17482.43</v>
      </c>
      <c r="M81" s="2" t="str">
        <f t="shared" si="2"/>
        <v>Mar</v>
      </c>
      <c r="N81" s="2" t="str">
        <f t="shared" si="3"/>
        <v>medium</v>
      </c>
      <c r="O81" s="2"/>
    </row>
    <row r="82" spans="1:15">
      <c r="A82" t="s">
        <v>139</v>
      </c>
      <c r="B82" s="1">
        <v>45608</v>
      </c>
      <c r="C82" t="s">
        <v>20</v>
      </c>
      <c r="D82" t="s">
        <v>21</v>
      </c>
      <c r="E82" t="s">
        <v>32</v>
      </c>
      <c r="F82">
        <v>4</v>
      </c>
      <c r="G82">
        <v>3802.39</v>
      </c>
      <c r="H82" s="5">
        <v>0.25</v>
      </c>
      <c r="I82" t="s">
        <v>28</v>
      </c>
      <c r="J82" t="s">
        <v>40</v>
      </c>
      <c r="K82" t="s">
        <v>18</v>
      </c>
      <c r="L82">
        <v>11407.17</v>
      </c>
      <c r="M82" s="2" t="str">
        <f t="shared" si="2"/>
        <v>Nov</v>
      </c>
      <c r="N82" s="2" t="str">
        <f t="shared" si="3"/>
        <v>medium</v>
      </c>
      <c r="O82" s="2"/>
    </row>
    <row r="83" spans="1:15">
      <c r="A83" t="s">
        <v>140</v>
      </c>
      <c r="B83" s="1">
        <v>45479</v>
      </c>
      <c r="C83" t="s">
        <v>20</v>
      </c>
      <c r="D83" t="s">
        <v>59</v>
      </c>
      <c r="E83" t="s">
        <v>15</v>
      </c>
      <c r="F83">
        <v>1</v>
      </c>
      <c r="G83">
        <v>6447.91</v>
      </c>
      <c r="H83" s="5">
        <v>0</v>
      </c>
      <c r="I83" t="s">
        <v>16</v>
      </c>
      <c r="J83" t="s">
        <v>49</v>
      </c>
      <c r="K83" t="s">
        <v>18</v>
      </c>
      <c r="L83">
        <v>6447.91</v>
      </c>
      <c r="M83" s="2" t="str">
        <f t="shared" si="2"/>
        <v>Jul</v>
      </c>
      <c r="N83" s="2" t="str">
        <f t="shared" si="3"/>
        <v>low</v>
      </c>
      <c r="O83" s="2"/>
    </row>
    <row r="84" spans="1:15">
      <c r="A84" t="s">
        <v>141</v>
      </c>
      <c r="B84" s="1">
        <v>45626</v>
      </c>
      <c r="C84" t="s">
        <v>35</v>
      </c>
      <c r="D84" t="s">
        <v>36</v>
      </c>
      <c r="E84" t="s">
        <v>15</v>
      </c>
      <c r="F84">
        <v>2</v>
      </c>
      <c r="G84">
        <v>352.97</v>
      </c>
      <c r="H84" s="5">
        <v>0</v>
      </c>
      <c r="I84" t="s">
        <v>28</v>
      </c>
      <c r="J84" t="s">
        <v>17</v>
      </c>
      <c r="K84" t="s">
        <v>33</v>
      </c>
      <c r="L84">
        <v>705.94</v>
      </c>
      <c r="M84" s="2" t="str">
        <f t="shared" si="2"/>
        <v>Nov</v>
      </c>
      <c r="N84" s="2" t="str">
        <f t="shared" si="3"/>
        <v>low</v>
      </c>
      <c r="O84" s="2"/>
    </row>
    <row r="85" spans="1:15">
      <c r="A85" t="s">
        <v>142</v>
      </c>
      <c r="B85" s="1">
        <v>45471</v>
      </c>
      <c r="C85" t="s">
        <v>20</v>
      </c>
      <c r="D85" t="s">
        <v>61</v>
      </c>
      <c r="E85" t="s">
        <v>53</v>
      </c>
      <c r="F85">
        <v>5</v>
      </c>
      <c r="G85">
        <v>6086.01</v>
      </c>
      <c r="H85" s="5">
        <v>0.05</v>
      </c>
      <c r="I85" t="s">
        <v>16</v>
      </c>
      <c r="J85" t="s">
        <v>49</v>
      </c>
      <c r="K85" t="s">
        <v>33</v>
      </c>
      <c r="L85">
        <v>28908.55</v>
      </c>
      <c r="M85" s="2" t="str">
        <f t="shared" si="2"/>
        <v>Jun</v>
      </c>
      <c r="N85" s="2" t="str">
        <f t="shared" si="3"/>
        <v>high</v>
      </c>
      <c r="O85" s="2"/>
    </row>
    <row r="86" spans="1:15">
      <c r="A86" t="s">
        <v>143</v>
      </c>
      <c r="B86" s="1">
        <v>45607</v>
      </c>
      <c r="C86" t="s">
        <v>20</v>
      </c>
      <c r="D86" t="s">
        <v>57</v>
      </c>
      <c r="E86" t="s">
        <v>27</v>
      </c>
      <c r="F86">
        <v>5</v>
      </c>
      <c r="G86">
        <v>2013.58</v>
      </c>
      <c r="H86" s="5">
        <v>0.15</v>
      </c>
      <c r="I86" t="s">
        <v>16</v>
      </c>
      <c r="J86" t="s">
        <v>29</v>
      </c>
      <c r="K86" t="s">
        <v>33</v>
      </c>
      <c r="L86">
        <v>8557.7199999999993</v>
      </c>
      <c r="M86" s="2" t="str">
        <f t="shared" si="2"/>
        <v>Nov</v>
      </c>
      <c r="N86" s="2" t="str">
        <f t="shared" si="3"/>
        <v>low</v>
      </c>
      <c r="O86" s="2"/>
    </row>
    <row r="87" spans="1:15">
      <c r="A87" t="s">
        <v>144</v>
      </c>
      <c r="B87" s="1">
        <v>45563</v>
      </c>
      <c r="C87" t="s">
        <v>20</v>
      </c>
      <c r="D87" t="s">
        <v>59</v>
      </c>
      <c r="E87" t="s">
        <v>53</v>
      </c>
      <c r="F87">
        <v>1</v>
      </c>
      <c r="G87">
        <v>5145.1000000000004</v>
      </c>
      <c r="H87" s="5">
        <v>0.15</v>
      </c>
      <c r="I87" t="s">
        <v>55</v>
      </c>
      <c r="J87" t="s">
        <v>49</v>
      </c>
      <c r="K87" t="s">
        <v>33</v>
      </c>
      <c r="L87">
        <v>4373.34</v>
      </c>
      <c r="M87" s="2" t="str">
        <f t="shared" si="2"/>
        <v>Sep</v>
      </c>
      <c r="N87" s="2" t="str">
        <f t="shared" si="3"/>
        <v>low</v>
      </c>
      <c r="O87" s="2"/>
    </row>
    <row r="88" spans="1:15">
      <c r="A88" t="s">
        <v>145</v>
      </c>
      <c r="B88" s="1">
        <v>45480</v>
      </c>
      <c r="C88" t="s">
        <v>13</v>
      </c>
      <c r="D88" t="s">
        <v>108</v>
      </c>
      <c r="E88" t="s">
        <v>15</v>
      </c>
      <c r="F88">
        <v>5</v>
      </c>
      <c r="G88">
        <v>1297.6300000000001</v>
      </c>
      <c r="H88" s="5">
        <v>0.15</v>
      </c>
      <c r="I88" t="s">
        <v>16</v>
      </c>
      <c r="J88" t="s">
        <v>49</v>
      </c>
      <c r="K88" t="s">
        <v>33</v>
      </c>
      <c r="L88">
        <v>5514.93</v>
      </c>
      <c r="M88" s="2" t="str">
        <f t="shared" si="2"/>
        <v>Jul</v>
      </c>
      <c r="N88" s="2" t="str">
        <f t="shared" si="3"/>
        <v>low</v>
      </c>
      <c r="O88" s="2"/>
    </row>
    <row r="89" spans="1:15">
      <c r="A89" t="s">
        <v>146</v>
      </c>
      <c r="B89" s="1">
        <v>45292</v>
      </c>
      <c r="C89" t="s">
        <v>13</v>
      </c>
      <c r="D89" t="s">
        <v>70</v>
      </c>
      <c r="E89" t="s">
        <v>80</v>
      </c>
      <c r="F89">
        <v>6</v>
      </c>
      <c r="G89">
        <v>415.28</v>
      </c>
      <c r="H89" s="5">
        <v>0.05</v>
      </c>
      <c r="I89" t="s">
        <v>16</v>
      </c>
      <c r="J89" t="s">
        <v>23</v>
      </c>
      <c r="K89" t="s">
        <v>33</v>
      </c>
      <c r="L89">
        <v>2367.1</v>
      </c>
      <c r="M89" s="2" t="str">
        <f t="shared" si="2"/>
        <v>Jan</v>
      </c>
      <c r="N89" s="2" t="str">
        <f t="shared" si="3"/>
        <v>low</v>
      </c>
      <c r="O89" s="2"/>
    </row>
    <row r="90" spans="1:15">
      <c r="A90" t="s">
        <v>147</v>
      </c>
      <c r="B90" s="1">
        <v>45303</v>
      </c>
      <c r="C90" t="s">
        <v>20</v>
      </c>
      <c r="D90" t="s">
        <v>57</v>
      </c>
      <c r="E90" t="s">
        <v>32</v>
      </c>
      <c r="F90">
        <v>1</v>
      </c>
      <c r="G90">
        <v>170.53</v>
      </c>
      <c r="H90" s="5">
        <v>0.15</v>
      </c>
      <c r="I90" t="s">
        <v>16</v>
      </c>
      <c r="J90" t="s">
        <v>49</v>
      </c>
      <c r="K90" t="s">
        <v>33</v>
      </c>
      <c r="L90">
        <v>144.94999999999999</v>
      </c>
      <c r="M90" s="2" t="str">
        <f t="shared" si="2"/>
        <v>Jan</v>
      </c>
      <c r="N90" s="2" t="str">
        <f t="shared" si="3"/>
        <v>low</v>
      </c>
      <c r="O90" s="2"/>
    </row>
    <row r="91" spans="1:15">
      <c r="A91" t="s">
        <v>148</v>
      </c>
      <c r="B91" s="1">
        <v>45373</v>
      </c>
      <c r="C91" t="s">
        <v>20</v>
      </c>
      <c r="D91" t="s">
        <v>59</v>
      </c>
      <c r="E91" t="s">
        <v>44</v>
      </c>
      <c r="F91">
        <v>2</v>
      </c>
      <c r="G91">
        <v>260.77999999999997</v>
      </c>
      <c r="H91" s="5">
        <v>0.1</v>
      </c>
      <c r="I91" t="s">
        <v>22</v>
      </c>
      <c r="J91" t="s">
        <v>29</v>
      </c>
      <c r="K91" t="s">
        <v>33</v>
      </c>
      <c r="L91">
        <v>469.4</v>
      </c>
      <c r="M91" s="2" t="str">
        <f t="shared" si="2"/>
        <v>Mar</v>
      </c>
      <c r="N91" s="2" t="str">
        <f t="shared" si="3"/>
        <v>low</v>
      </c>
      <c r="O91" s="2"/>
    </row>
    <row r="92" spans="1:15">
      <c r="A92" t="s">
        <v>149</v>
      </c>
      <c r="B92" s="1">
        <v>45622</v>
      </c>
      <c r="C92" t="s">
        <v>13</v>
      </c>
      <c r="D92" t="s">
        <v>76</v>
      </c>
      <c r="E92" t="s">
        <v>32</v>
      </c>
      <c r="F92">
        <v>5</v>
      </c>
      <c r="G92">
        <v>7157.51</v>
      </c>
      <c r="H92" s="5">
        <v>0.25</v>
      </c>
      <c r="I92" t="s">
        <v>28</v>
      </c>
      <c r="J92" t="s">
        <v>40</v>
      </c>
      <c r="K92" t="s">
        <v>18</v>
      </c>
      <c r="L92">
        <v>26840.66</v>
      </c>
      <c r="M92" s="2" t="str">
        <f t="shared" si="2"/>
        <v>Nov</v>
      </c>
      <c r="N92" s="2" t="str">
        <f t="shared" si="3"/>
        <v>high</v>
      </c>
      <c r="O92" s="2"/>
    </row>
    <row r="93" spans="1:15">
      <c r="A93" t="s">
        <v>150</v>
      </c>
      <c r="B93" s="1">
        <v>45387</v>
      </c>
      <c r="C93" t="s">
        <v>25</v>
      </c>
      <c r="D93" t="s">
        <v>31</v>
      </c>
      <c r="E93" t="s">
        <v>15</v>
      </c>
      <c r="F93">
        <v>2</v>
      </c>
      <c r="G93">
        <v>1399.85</v>
      </c>
      <c r="H93" s="5">
        <v>0</v>
      </c>
      <c r="I93" t="s">
        <v>16</v>
      </c>
      <c r="J93" t="s">
        <v>49</v>
      </c>
      <c r="K93" t="s">
        <v>33</v>
      </c>
      <c r="L93">
        <v>2799.7</v>
      </c>
      <c r="M93" s="2" t="str">
        <f t="shared" si="2"/>
        <v>Apr</v>
      </c>
      <c r="N93" s="2" t="str">
        <f t="shared" si="3"/>
        <v>low</v>
      </c>
      <c r="O93" s="2"/>
    </row>
    <row r="94" spans="1:15">
      <c r="A94" t="s">
        <v>151</v>
      </c>
      <c r="B94" s="1">
        <v>45324</v>
      </c>
      <c r="C94" t="s">
        <v>25</v>
      </c>
      <c r="D94" t="s">
        <v>26</v>
      </c>
      <c r="E94" t="s">
        <v>27</v>
      </c>
      <c r="F94">
        <v>3</v>
      </c>
      <c r="G94">
        <v>5063.82</v>
      </c>
      <c r="H94" s="5">
        <v>0.25</v>
      </c>
      <c r="I94" t="s">
        <v>22</v>
      </c>
      <c r="J94" t="s">
        <v>40</v>
      </c>
      <c r="K94" t="s">
        <v>33</v>
      </c>
      <c r="L94">
        <v>11393.59</v>
      </c>
      <c r="M94" s="2" t="str">
        <f t="shared" si="2"/>
        <v>Feb</v>
      </c>
      <c r="N94" s="2" t="str">
        <f t="shared" si="3"/>
        <v>medium</v>
      </c>
      <c r="O94" s="2"/>
    </row>
    <row r="95" spans="1:15">
      <c r="A95" t="s">
        <v>152</v>
      </c>
      <c r="B95" s="1">
        <v>45425</v>
      </c>
      <c r="C95" t="s">
        <v>20</v>
      </c>
      <c r="D95" t="s">
        <v>61</v>
      </c>
      <c r="E95" t="s">
        <v>53</v>
      </c>
      <c r="F95">
        <v>2</v>
      </c>
      <c r="G95">
        <v>5205.5600000000004</v>
      </c>
      <c r="H95" s="5">
        <v>0</v>
      </c>
      <c r="I95" t="s">
        <v>16</v>
      </c>
      <c r="J95" t="s">
        <v>40</v>
      </c>
      <c r="K95" t="s">
        <v>33</v>
      </c>
      <c r="L95">
        <v>10411.120000000001</v>
      </c>
      <c r="M95" s="2" t="str">
        <f t="shared" si="2"/>
        <v>May</v>
      </c>
      <c r="N95" s="2" t="str">
        <f t="shared" si="3"/>
        <v>medium</v>
      </c>
      <c r="O95" s="2"/>
    </row>
    <row r="96" spans="1:15">
      <c r="A96" t="s">
        <v>153</v>
      </c>
      <c r="B96" s="1">
        <v>45443</v>
      </c>
      <c r="C96" t="s">
        <v>25</v>
      </c>
      <c r="D96" t="s">
        <v>87</v>
      </c>
      <c r="E96" t="s">
        <v>27</v>
      </c>
      <c r="F96">
        <v>6</v>
      </c>
      <c r="G96">
        <v>7439.28</v>
      </c>
      <c r="H96" s="5">
        <v>0.1</v>
      </c>
      <c r="I96" t="s">
        <v>16</v>
      </c>
      <c r="J96" t="s">
        <v>23</v>
      </c>
      <c r="K96" t="s">
        <v>33</v>
      </c>
      <c r="L96">
        <v>40172.11</v>
      </c>
      <c r="M96" s="2" t="str">
        <f t="shared" si="2"/>
        <v>May</v>
      </c>
      <c r="N96" s="2" t="str">
        <f t="shared" si="3"/>
        <v>high</v>
      </c>
      <c r="O96" s="2"/>
    </row>
    <row r="97" spans="1:15">
      <c r="A97" t="s">
        <v>154</v>
      </c>
      <c r="B97" s="1">
        <v>45460</v>
      </c>
      <c r="C97" t="s">
        <v>13</v>
      </c>
      <c r="D97" t="s">
        <v>14</v>
      </c>
      <c r="E97" t="s">
        <v>15</v>
      </c>
      <c r="F97">
        <v>5</v>
      </c>
      <c r="G97">
        <v>2027.47</v>
      </c>
      <c r="H97" s="5">
        <v>0.25</v>
      </c>
      <c r="I97" t="s">
        <v>55</v>
      </c>
      <c r="J97" t="s">
        <v>23</v>
      </c>
      <c r="K97" t="s">
        <v>33</v>
      </c>
      <c r="L97">
        <v>7603.01</v>
      </c>
      <c r="M97" s="2" t="str">
        <f t="shared" si="2"/>
        <v>Jun</v>
      </c>
      <c r="N97" s="2" t="str">
        <f t="shared" si="3"/>
        <v>low</v>
      </c>
      <c r="O97" s="2"/>
    </row>
    <row r="98" spans="1:15">
      <c r="A98" t="s">
        <v>155</v>
      </c>
      <c r="B98" s="1">
        <v>45581</v>
      </c>
      <c r="C98" t="s">
        <v>20</v>
      </c>
      <c r="D98" t="s">
        <v>78</v>
      </c>
      <c r="E98" t="s">
        <v>53</v>
      </c>
      <c r="F98">
        <v>2</v>
      </c>
      <c r="G98">
        <v>1285.07</v>
      </c>
      <c r="H98" s="5">
        <v>0</v>
      </c>
      <c r="I98" t="s">
        <v>16</v>
      </c>
      <c r="J98" t="s">
        <v>40</v>
      </c>
      <c r="K98" t="s">
        <v>18</v>
      </c>
      <c r="L98">
        <v>2570.14</v>
      </c>
      <c r="M98" s="2" t="str">
        <f t="shared" si="2"/>
        <v>Oct</v>
      </c>
      <c r="N98" s="2" t="str">
        <f t="shared" si="3"/>
        <v>low</v>
      </c>
      <c r="O98" s="2"/>
    </row>
    <row r="99" spans="1:15">
      <c r="A99" t="s">
        <v>156</v>
      </c>
      <c r="B99" s="1">
        <v>45648</v>
      </c>
      <c r="C99" t="s">
        <v>35</v>
      </c>
      <c r="D99" t="s">
        <v>63</v>
      </c>
      <c r="E99" t="s">
        <v>32</v>
      </c>
      <c r="F99">
        <v>1</v>
      </c>
      <c r="G99">
        <v>5933.76</v>
      </c>
      <c r="H99" s="5">
        <v>0</v>
      </c>
      <c r="I99" t="s">
        <v>28</v>
      </c>
      <c r="J99" t="s">
        <v>40</v>
      </c>
      <c r="K99" t="s">
        <v>33</v>
      </c>
      <c r="L99">
        <v>5933.76</v>
      </c>
      <c r="M99" s="2" t="str">
        <f t="shared" si="2"/>
        <v>Dec</v>
      </c>
      <c r="N99" s="2" t="str">
        <f t="shared" si="3"/>
        <v>low</v>
      </c>
      <c r="O99" s="2"/>
    </row>
    <row r="100" spans="1:15">
      <c r="A100" t="s">
        <v>157</v>
      </c>
      <c r="B100" s="1">
        <v>45396</v>
      </c>
      <c r="C100" t="s">
        <v>35</v>
      </c>
      <c r="D100" t="s">
        <v>63</v>
      </c>
      <c r="E100" t="s">
        <v>1160</v>
      </c>
      <c r="F100">
        <v>1</v>
      </c>
      <c r="G100">
        <v>415.81</v>
      </c>
      <c r="H100" s="5">
        <v>0</v>
      </c>
      <c r="I100" t="s">
        <v>22</v>
      </c>
      <c r="J100" t="s">
        <v>23</v>
      </c>
      <c r="K100" t="s">
        <v>33</v>
      </c>
      <c r="L100">
        <v>415.81</v>
      </c>
      <c r="M100" s="2" t="str">
        <f t="shared" si="2"/>
        <v>Apr</v>
      </c>
      <c r="N100" s="2" t="str">
        <f t="shared" si="3"/>
        <v>low</v>
      </c>
      <c r="O100" s="2"/>
    </row>
    <row r="101" spans="1:15">
      <c r="A101" t="s">
        <v>158</v>
      </c>
      <c r="B101" s="1">
        <v>45425</v>
      </c>
      <c r="C101" t="s">
        <v>13</v>
      </c>
      <c r="D101" t="s">
        <v>108</v>
      </c>
      <c r="E101" t="s">
        <v>15</v>
      </c>
      <c r="F101">
        <v>1</v>
      </c>
      <c r="G101">
        <v>2904.57</v>
      </c>
      <c r="H101" s="5">
        <v>0.1</v>
      </c>
      <c r="I101" t="s">
        <v>16</v>
      </c>
      <c r="J101" t="s">
        <v>49</v>
      </c>
      <c r="K101" t="s">
        <v>33</v>
      </c>
      <c r="L101">
        <v>2614.11</v>
      </c>
      <c r="M101" s="2" t="str">
        <f t="shared" si="2"/>
        <v>May</v>
      </c>
      <c r="N101" s="2" t="str">
        <f t="shared" si="3"/>
        <v>low</v>
      </c>
      <c r="O101" s="2"/>
    </row>
    <row r="102" spans="1:15">
      <c r="A102" t="s">
        <v>159</v>
      </c>
      <c r="B102" s="1">
        <v>45503</v>
      </c>
      <c r="C102" t="s">
        <v>13</v>
      </c>
      <c r="D102" t="s">
        <v>70</v>
      </c>
      <c r="E102" t="s">
        <v>32</v>
      </c>
      <c r="F102">
        <v>1</v>
      </c>
      <c r="G102">
        <v>3576.13</v>
      </c>
      <c r="H102" s="5">
        <v>0</v>
      </c>
      <c r="I102" t="s">
        <v>16</v>
      </c>
      <c r="J102" t="s">
        <v>40</v>
      </c>
      <c r="K102" t="s">
        <v>33</v>
      </c>
      <c r="L102">
        <v>3576.13</v>
      </c>
      <c r="M102" s="2" t="str">
        <f t="shared" si="2"/>
        <v>Jul</v>
      </c>
      <c r="N102" s="2" t="str">
        <f t="shared" si="3"/>
        <v>low</v>
      </c>
      <c r="O102" s="2"/>
    </row>
    <row r="103" spans="1:15">
      <c r="A103" t="s">
        <v>160</v>
      </c>
      <c r="B103" s="1">
        <v>45560</v>
      </c>
      <c r="C103" t="s">
        <v>20</v>
      </c>
      <c r="D103" t="s">
        <v>78</v>
      </c>
      <c r="E103" t="s">
        <v>32</v>
      </c>
      <c r="F103">
        <v>2</v>
      </c>
      <c r="G103">
        <v>2413.4299999999998</v>
      </c>
      <c r="H103" s="5">
        <v>0</v>
      </c>
      <c r="I103" t="s">
        <v>16</v>
      </c>
      <c r="J103" t="s">
        <v>17</v>
      </c>
      <c r="K103" t="s">
        <v>33</v>
      </c>
      <c r="L103">
        <v>4826.8599999999997</v>
      </c>
      <c r="M103" s="2" t="str">
        <f t="shared" si="2"/>
        <v>Sep</v>
      </c>
      <c r="N103" s="2" t="str">
        <f t="shared" si="3"/>
        <v>low</v>
      </c>
      <c r="O103" s="2"/>
    </row>
    <row r="104" spans="1:15">
      <c r="A104" t="s">
        <v>161</v>
      </c>
      <c r="B104" s="1">
        <v>45437</v>
      </c>
      <c r="C104" t="s">
        <v>25</v>
      </c>
      <c r="D104" t="s">
        <v>46</v>
      </c>
      <c r="E104" t="s">
        <v>47</v>
      </c>
      <c r="F104">
        <v>2</v>
      </c>
      <c r="G104">
        <v>7515.57</v>
      </c>
      <c r="H104" s="5">
        <v>0.1</v>
      </c>
      <c r="I104" t="s">
        <v>55</v>
      </c>
      <c r="J104" t="s">
        <v>49</v>
      </c>
      <c r="K104" t="s">
        <v>18</v>
      </c>
      <c r="L104">
        <v>13528.03</v>
      </c>
      <c r="M104" s="2" t="str">
        <f t="shared" si="2"/>
        <v>May</v>
      </c>
      <c r="N104" s="2" t="str">
        <f t="shared" si="3"/>
        <v>medium</v>
      </c>
      <c r="O104" s="2"/>
    </row>
    <row r="105" spans="1:15">
      <c r="A105" t="s">
        <v>162</v>
      </c>
      <c r="B105" s="1">
        <v>45497</v>
      </c>
      <c r="C105" t="s">
        <v>13</v>
      </c>
      <c r="D105" t="s">
        <v>108</v>
      </c>
      <c r="E105" t="s">
        <v>53</v>
      </c>
      <c r="F105">
        <v>4</v>
      </c>
      <c r="G105">
        <v>7150.96</v>
      </c>
      <c r="H105" s="5">
        <v>0</v>
      </c>
      <c r="I105" t="s">
        <v>55</v>
      </c>
      <c r="J105" t="s">
        <v>49</v>
      </c>
      <c r="K105" t="s">
        <v>33</v>
      </c>
      <c r="L105">
        <v>28603.84</v>
      </c>
      <c r="M105" s="2" t="str">
        <f t="shared" si="2"/>
        <v>Jul</v>
      </c>
      <c r="N105" s="2" t="str">
        <f t="shared" si="3"/>
        <v>high</v>
      </c>
      <c r="O105" s="2"/>
    </row>
    <row r="106" spans="1:15">
      <c r="A106" t="s">
        <v>163</v>
      </c>
      <c r="B106" s="1">
        <v>45356</v>
      </c>
      <c r="C106" t="s">
        <v>38</v>
      </c>
      <c r="D106" t="s">
        <v>164</v>
      </c>
      <c r="E106" t="s">
        <v>44</v>
      </c>
      <c r="F106">
        <v>5</v>
      </c>
      <c r="G106">
        <v>4813.59</v>
      </c>
      <c r="H106" s="5">
        <v>0</v>
      </c>
      <c r="I106" t="s">
        <v>16</v>
      </c>
      <c r="J106" t="s">
        <v>49</v>
      </c>
      <c r="K106" t="s">
        <v>33</v>
      </c>
      <c r="L106">
        <v>24067.95</v>
      </c>
      <c r="M106" s="2" t="str">
        <f t="shared" si="2"/>
        <v>Mar</v>
      </c>
      <c r="N106" s="2" t="str">
        <f t="shared" si="3"/>
        <v>high</v>
      </c>
      <c r="O106" s="2"/>
    </row>
    <row r="107" spans="1:15">
      <c r="A107" t="s">
        <v>165</v>
      </c>
      <c r="B107" s="1">
        <v>45644</v>
      </c>
      <c r="C107" t="s">
        <v>20</v>
      </c>
      <c r="D107" t="s">
        <v>78</v>
      </c>
      <c r="E107" t="s">
        <v>44</v>
      </c>
      <c r="F107">
        <v>3</v>
      </c>
      <c r="G107">
        <v>4696.4799999999996</v>
      </c>
      <c r="H107" s="5">
        <v>0.05</v>
      </c>
      <c r="I107" t="s">
        <v>16</v>
      </c>
      <c r="J107" t="s">
        <v>29</v>
      </c>
      <c r="K107" t="s">
        <v>33</v>
      </c>
      <c r="L107">
        <v>13384.97</v>
      </c>
      <c r="M107" s="2" t="str">
        <f t="shared" si="2"/>
        <v>Dec</v>
      </c>
      <c r="N107" s="2" t="str">
        <f t="shared" si="3"/>
        <v>medium</v>
      </c>
      <c r="O107" s="2"/>
    </row>
    <row r="108" spans="1:15">
      <c r="A108" t="s">
        <v>166</v>
      </c>
      <c r="B108" s="1">
        <v>45600</v>
      </c>
      <c r="C108" t="s">
        <v>20</v>
      </c>
      <c r="D108" t="s">
        <v>61</v>
      </c>
      <c r="E108" t="s">
        <v>80</v>
      </c>
      <c r="F108">
        <v>5</v>
      </c>
      <c r="G108">
        <v>2886.76</v>
      </c>
      <c r="H108" s="5">
        <v>0.1</v>
      </c>
      <c r="I108" t="s">
        <v>16</v>
      </c>
      <c r="J108" t="s">
        <v>23</v>
      </c>
      <c r="K108" t="s">
        <v>18</v>
      </c>
      <c r="L108">
        <v>12990.42</v>
      </c>
      <c r="M108" s="2" t="str">
        <f t="shared" si="2"/>
        <v>Nov</v>
      </c>
      <c r="N108" s="2" t="str">
        <f t="shared" si="3"/>
        <v>medium</v>
      </c>
      <c r="O108" s="2"/>
    </row>
    <row r="109" spans="1:15">
      <c r="A109" t="s">
        <v>167</v>
      </c>
      <c r="B109" s="1">
        <v>45367</v>
      </c>
      <c r="C109" t="s">
        <v>20</v>
      </c>
      <c r="D109" t="s">
        <v>78</v>
      </c>
      <c r="E109" t="s">
        <v>47</v>
      </c>
      <c r="F109">
        <v>3</v>
      </c>
      <c r="G109">
        <v>5906.35</v>
      </c>
      <c r="H109" s="5">
        <v>0.2</v>
      </c>
      <c r="I109" t="s">
        <v>16</v>
      </c>
      <c r="J109" t="s">
        <v>17</v>
      </c>
      <c r="K109" t="s">
        <v>33</v>
      </c>
      <c r="L109">
        <v>14175.24</v>
      </c>
      <c r="M109" s="2" t="str">
        <f t="shared" si="2"/>
        <v>Mar</v>
      </c>
      <c r="N109" s="2" t="str">
        <f t="shared" si="3"/>
        <v>medium</v>
      </c>
      <c r="O109" s="2"/>
    </row>
    <row r="110" spans="1:15">
      <c r="A110" t="s">
        <v>168</v>
      </c>
      <c r="B110" s="1">
        <v>45515</v>
      </c>
      <c r="C110" t="s">
        <v>35</v>
      </c>
      <c r="D110" t="s">
        <v>68</v>
      </c>
      <c r="E110" t="s">
        <v>15</v>
      </c>
      <c r="F110">
        <v>6</v>
      </c>
      <c r="G110">
        <v>1896.25</v>
      </c>
      <c r="H110" s="5">
        <v>0.1</v>
      </c>
      <c r="I110" t="s">
        <v>55</v>
      </c>
      <c r="J110" t="s">
        <v>23</v>
      </c>
      <c r="K110" t="s">
        <v>33</v>
      </c>
      <c r="L110">
        <f>(F110*G110)-(F110*G110)*H110</f>
        <v>10239.75</v>
      </c>
      <c r="M110" s="2" t="str">
        <f t="shared" si="2"/>
        <v>Aug</v>
      </c>
      <c r="N110" s="2" t="str">
        <f t="shared" si="3"/>
        <v>medium</v>
      </c>
      <c r="O110" s="2"/>
    </row>
    <row r="111" spans="1:15">
      <c r="A111" t="s">
        <v>169</v>
      </c>
      <c r="B111" s="1">
        <v>45409</v>
      </c>
      <c r="C111" t="s">
        <v>25</v>
      </c>
      <c r="D111" t="s">
        <v>94</v>
      </c>
      <c r="E111" t="s">
        <v>15</v>
      </c>
      <c r="F111">
        <v>6</v>
      </c>
      <c r="G111">
        <v>5819.42</v>
      </c>
      <c r="H111" s="5">
        <v>0.1</v>
      </c>
      <c r="I111" t="s">
        <v>22</v>
      </c>
      <c r="J111" t="s">
        <v>40</v>
      </c>
      <c r="K111" t="s">
        <v>33</v>
      </c>
      <c r="L111">
        <v>31424.87</v>
      </c>
      <c r="M111" s="2" t="str">
        <f t="shared" si="2"/>
        <v>Apr</v>
      </c>
      <c r="N111" s="2" t="str">
        <f t="shared" si="3"/>
        <v>high</v>
      </c>
      <c r="O111" s="2"/>
    </row>
    <row r="112" spans="1:15">
      <c r="A112" t="s">
        <v>170</v>
      </c>
      <c r="B112" s="1">
        <v>45420</v>
      </c>
      <c r="C112" t="s">
        <v>20</v>
      </c>
      <c r="D112" t="s">
        <v>78</v>
      </c>
      <c r="E112" t="s">
        <v>47</v>
      </c>
      <c r="F112">
        <v>4</v>
      </c>
      <c r="G112">
        <v>3939.54</v>
      </c>
      <c r="H112" s="5">
        <v>0</v>
      </c>
      <c r="I112" t="s">
        <v>28</v>
      </c>
      <c r="J112" t="s">
        <v>29</v>
      </c>
      <c r="K112" t="s">
        <v>18</v>
      </c>
      <c r="L112">
        <v>15758.16</v>
      </c>
      <c r="M112" s="2" t="str">
        <f t="shared" si="2"/>
        <v>May</v>
      </c>
      <c r="N112" s="2" t="str">
        <f t="shared" si="3"/>
        <v>medium</v>
      </c>
      <c r="O112" s="2"/>
    </row>
    <row r="113" spans="1:15">
      <c r="A113" t="s">
        <v>171</v>
      </c>
      <c r="B113" s="1">
        <v>45311</v>
      </c>
      <c r="C113" t="s">
        <v>38</v>
      </c>
      <c r="D113" t="s">
        <v>39</v>
      </c>
      <c r="E113" t="s">
        <v>53</v>
      </c>
      <c r="F113">
        <v>3</v>
      </c>
      <c r="G113">
        <v>4415.38</v>
      </c>
      <c r="H113" s="5">
        <v>0.05</v>
      </c>
      <c r="I113" t="s">
        <v>22</v>
      </c>
      <c r="J113" t="s">
        <v>49</v>
      </c>
      <c r="K113" t="s">
        <v>33</v>
      </c>
      <c r="L113">
        <v>12583.83</v>
      </c>
      <c r="M113" s="2" t="str">
        <f t="shared" si="2"/>
        <v>Jan</v>
      </c>
      <c r="N113" s="2" t="str">
        <f t="shared" si="3"/>
        <v>medium</v>
      </c>
      <c r="O113" s="2"/>
    </row>
    <row r="114" spans="1:15">
      <c r="A114" t="s">
        <v>172</v>
      </c>
      <c r="B114" s="1">
        <v>45554</v>
      </c>
      <c r="C114" t="s">
        <v>25</v>
      </c>
      <c r="D114" t="s">
        <v>26</v>
      </c>
      <c r="E114" t="s">
        <v>44</v>
      </c>
      <c r="F114">
        <v>1</v>
      </c>
      <c r="G114">
        <v>5168.2</v>
      </c>
      <c r="H114" s="5">
        <v>0.15</v>
      </c>
      <c r="I114" t="s">
        <v>28</v>
      </c>
      <c r="J114" t="s">
        <v>23</v>
      </c>
      <c r="K114" t="s">
        <v>33</v>
      </c>
      <c r="L114">
        <v>4392.97</v>
      </c>
      <c r="M114" s="2" t="str">
        <f t="shared" si="2"/>
        <v>Sep</v>
      </c>
      <c r="N114" s="2" t="str">
        <f t="shared" si="3"/>
        <v>low</v>
      </c>
      <c r="O114" s="2"/>
    </row>
    <row r="115" spans="1:15">
      <c r="A115" t="s">
        <v>173</v>
      </c>
      <c r="B115" s="1">
        <v>45618</v>
      </c>
      <c r="C115" t="s">
        <v>25</v>
      </c>
      <c r="D115" t="s">
        <v>31</v>
      </c>
      <c r="E115" t="s">
        <v>80</v>
      </c>
      <c r="F115">
        <v>1</v>
      </c>
      <c r="G115">
        <v>2131.79</v>
      </c>
      <c r="H115" s="5">
        <v>0.2</v>
      </c>
      <c r="I115" t="s">
        <v>55</v>
      </c>
      <c r="J115" t="s">
        <v>29</v>
      </c>
      <c r="K115" t="s">
        <v>33</v>
      </c>
      <c r="L115">
        <v>1705.43</v>
      </c>
      <c r="M115" s="2" t="str">
        <f t="shared" si="2"/>
        <v>Nov</v>
      </c>
      <c r="N115" s="2" t="str">
        <f t="shared" si="3"/>
        <v>low</v>
      </c>
      <c r="O115" s="2"/>
    </row>
    <row r="116" spans="1:15">
      <c r="A116" t="s">
        <v>174</v>
      </c>
      <c r="B116" s="1">
        <v>45497</v>
      </c>
      <c r="C116" t="s">
        <v>35</v>
      </c>
      <c r="D116" t="s">
        <v>63</v>
      </c>
      <c r="E116" t="s">
        <v>27</v>
      </c>
      <c r="F116">
        <v>5</v>
      </c>
      <c r="G116">
        <v>7776.28</v>
      </c>
      <c r="H116" s="5">
        <v>0.2</v>
      </c>
      <c r="I116" t="s">
        <v>55</v>
      </c>
      <c r="J116" t="s">
        <v>23</v>
      </c>
      <c r="K116" t="s">
        <v>33</v>
      </c>
      <c r="L116">
        <v>31105.119999999999</v>
      </c>
      <c r="M116" s="2" t="str">
        <f t="shared" si="2"/>
        <v>Jul</v>
      </c>
      <c r="N116" s="2" t="str">
        <f t="shared" si="3"/>
        <v>high</v>
      </c>
      <c r="O116" s="2"/>
    </row>
    <row r="117" spans="1:15">
      <c r="A117" t="s">
        <v>175</v>
      </c>
      <c r="B117" s="1">
        <v>45472</v>
      </c>
      <c r="C117" t="s">
        <v>25</v>
      </c>
      <c r="D117" t="s">
        <v>26</v>
      </c>
      <c r="E117" t="s">
        <v>47</v>
      </c>
      <c r="F117">
        <v>6</v>
      </c>
      <c r="G117">
        <v>5164.55</v>
      </c>
      <c r="H117" s="5">
        <v>0.2</v>
      </c>
      <c r="I117" t="s">
        <v>55</v>
      </c>
      <c r="J117" t="s">
        <v>17</v>
      </c>
      <c r="K117" t="s">
        <v>33</v>
      </c>
      <c r="L117">
        <v>24789.84</v>
      </c>
      <c r="M117" s="2" t="str">
        <f t="shared" si="2"/>
        <v>Jun</v>
      </c>
      <c r="N117" s="2" t="str">
        <f t="shared" si="3"/>
        <v>high</v>
      </c>
      <c r="O117" s="2"/>
    </row>
    <row r="118" spans="1:15">
      <c r="A118" t="s">
        <v>176</v>
      </c>
      <c r="B118" s="1">
        <v>45643</v>
      </c>
      <c r="C118" t="s">
        <v>20</v>
      </c>
      <c r="D118" t="s">
        <v>59</v>
      </c>
      <c r="E118" t="s">
        <v>15</v>
      </c>
      <c r="F118">
        <v>3</v>
      </c>
      <c r="G118">
        <v>7865.69</v>
      </c>
      <c r="H118" s="5">
        <v>0.05</v>
      </c>
      <c r="I118" t="s">
        <v>55</v>
      </c>
      <c r="J118" t="s">
        <v>29</v>
      </c>
      <c r="K118" t="s">
        <v>33</v>
      </c>
      <c r="L118">
        <v>22417.22</v>
      </c>
      <c r="M118" s="2" t="str">
        <f t="shared" si="2"/>
        <v>Dec</v>
      </c>
      <c r="N118" s="2" t="str">
        <f t="shared" si="3"/>
        <v>high</v>
      </c>
      <c r="O118" s="2"/>
    </row>
    <row r="119" spans="1:15">
      <c r="A119" t="s">
        <v>177</v>
      </c>
      <c r="B119" s="1">
        <v>45611</v>
      </c>
      <c r="C119" t="s">
        <v>38</v>
      </c>
      <c r="D119" t="s">
        <v>39</v>
      </c>
      <c r="E119" t="s">
        <v>15</v>
      </c>
      <c r="F119">
        <v>6</v>
      </c>
      <c r="G119">
        <v>820.56</v>
      </c>
      <c r="H119" s="5">
        <v>0.15</v>
      </c>
      <c r="I119" t="s">
        <v>16</v>
      </c>
      <c r="J119" t="s">
        <v>29</v>
      </c>
      <c r="K119" t="s">
        <v>33</v>
      </c>
      <c r="L119">
        <v>4184.8599999999997</v>
      </c>
      <c r="M119" s="2" t="str">
        <f t="shared" si="2"/>
        <v>Nov</v>
      </c>
      <c r="N119" s="2" t="str">
        <f t="shared" si="3"/>
        <v>low</v>
      </c>
      <c r="O119" s="2"/>
    </row>
    <row r="120" spans="1:15">
      <c r="A120" t="s">
        <v>178</v>
      </c>
      <c r="B120" s="1">
        <v>45628</v>
      </c>
      <c r="C120" t="s">
        <v>25</v>
      </c>
      <c r="D120" t="s">
        <v>46</v>
      </c>
      <c r="E120" t="s">
        <v>32</v>
      </c>
      <c r="F120">
        <v>1</v>
      </c>
      <c r="G120">
        <v>1796.53</v>
      </c>
      <c r="H120" s="5">
        <v>0</v>
      </c>
      <c r="I120" t="s">
        <v>22</v>
      </c>
      <c r="J120" t="s">
        <v>23</v>
      </c>
      <c r="K120" t="s">
        <v>33</v>
      </c>
      <c r="L120">
        <v>1796.53</v>
      </c>
      <c r="M120" s="2" t="str">
        <f t="shared" si="2"/>
        <v>Dec</v>
      </c>
      <c r="N120" s="2" t="str">
        <f t="shared" si="3"/>
        <v>low</v>
      </c>
      <c r="O120" s="2"/>
    </row>
    <row r="121" spans="1:15">
      <c r="A121" t="s">
        <v>179</v>
      </c>
      <c r="B121" s="1">
        <v>45498</v>
      </c>
      <c r="C121" t="s">
        <v>13</v>
      </c>
      <c r="D121" t="s">
        <v>14</v>
      </c>
      <c r="E121" t="s">
        <v>1160</v>
      </c>
      <c r="F121">
        <v>5</v>
      </c>
      <c r="G121">
        <v>1468.12</v>
      </c>
      <c r="H121" s="5">
        <v>0</v>
      </c>
      <c r="I121" t="s">
        <v>22</v>
      </c>
      <c r="J121" t="s">
        <v>17</v>
      </c>
      <c r="K121" t="s">
        <v>33</v>
      </c>
      <c r="L121">
        <v>7340.6</v>
      </c>
      <c r="M121" s="2" t="str">
        <f t="shared" si="2"/>
        <v>Jul</v>
      </c>
      <c r="N121" s="2" t="str">
        <f t="shared" si="3"/>
        <v>low</v>
      </c>
      <c r="O121" s="2"/>
    </row>
    <row r="122" spans="1:15">
      <c r="A122" t="s">
        <v>180</v>
      </c>
      <c r="B122" s="1">
        <v>45635</v>
      </c>
      <c r="C122" t="s">
        <v>25</v>
      </c>
      <c r="D122" t="s">
        <v>31</v>
      </c>
      <c r="E122" t="s">
        <v>44</v>
      </c>
      <c r="F122">
        <v>1</v>
      </c>
      <c r="G122">
        <v>4507.25</v>
      </c>
      <c r="H122" s="5">
        <v>0.1</v>
      </c>
      <c r="I122" t="s">
        <v>55</v>
      </c>
      <c r="J122" t="s">
        <v>17</v>
      </c>
      <c r="K122" t="s">
        <v>33</v>
      </c>
      <c r="L122">
        <v>4056.53</v>
      </c>
      <c r="M122" s="2" t="str">
        <f t="shared" si="2"/>
        <v>Dec</v>
      </c>
      <c r="N122" s="2" t="str">
        <f t="shared" si="3"/>
        <v>low</v>
      </c>
      <c r="O122" s="2"/>
    </row>
    <row r="123" spans="1:15">
      <c r="A123" t="s">
        <v>181</v>
      </c>
      <c r="B123" s="1">
        <v>45376</v>
      </c>
      <c r="C123" t="s">
        <v>38</v>
      </c>
      <c r="D123" t="s">
        <v>164</v>
      </c>
      <c r="E123" t="s">
        <v>44</v>
      </c>
      <c r="F123">
        <v>5</v>
      </c>
      <c r="G123">
        <v>4856.87</v>
      </c>
      <c r="H123" s="5">
        <v>0</v>
      </c>
      <c r="I123" t="s">
        <v>16</v>
      </c>
      <c r="J123" t="s">
        <v>17</v>
      </c>
      <c r="K123" t="s">
        <v>33</v>
      </c>
      <c r="L123">
        <v>24284.35</v>
      </c>
      <c r="M123" s="2" t="str">
        <f t="shared" si="2"/>
        <v>Mar</v>
      </c>
      <c r="N123" s="2" t="str">
        <f t="shared" si="3"/>
        <v>high</v>
      </c>
      <c r="O123" s="2"/>
    </row>
    <row r="124" spans="1:15">
      <c r="A124" t="s">
        <v>182</v>
      </c>
      <c r="B124" s="1">
        <v>45384</v>
      </c>
      <c r="C124" t="s">
        <v>38</v>
      </c>
      <c r="D124" t="s">
        <v>39</v>
      </c>
      <c r="E124" t="s">
        <v>53</v>
      </c>
      <c r="F124">
        <v>6</v>
      </c>
      <c r="G124">
        <v>2978.95</v>
      </c>
      <c r="H124" s="5">
        <v>0</v>
      </c>
      <c r="I124" t="s">
        <v>16</v>
      </c>
      <c r="J124" t="s">
        <v>40</v>
      </c>
      <c r="K124" t="s">
        <v>33</v>
      </c>
      <c r="L124">
        <v>17873.7</v>
      </c>
      <c r="M124" s="2" t="str">
        <f t="shared" si="2"/>
        <v>Apr</v>
      </c>
      <c r="N124" s="2" t="str">
        <f t="shared" si="3"/>
        <v>medium</v>
      </c>
      <c r="O124" s="2"/>
    </row>
    <row r="125" spans="1:15">
      <c r="A125" t="s">
        <v>183</v>
      </c>
      <c r="B125" s="1">
        <v>45401</v>
      </c>
      <c r="C125" t="s">
        <v>38</v>
      </c>
      <c r="D125" t="s">
        <v>164</v>
      </c>
      <c r="E125" t="s">
        <v>32</v>
      </c>
      <c r="F125">
        <v>6</v>
      </c>
      <c r="G125">
        <v>3412.39</v>
      </c>
      <c r="H125" s="5">
        <v>0.05</v>
      </c>
      <c r="I125" t="s">
        <v>16</v>
      </c>
      <c r="J125" t="s">
        <v>49</v>
      </c>
      <c r="K125" t="s">
        <v>33</v>
      </c>
      <c r="L125">
        <v>19450.62</v>
      </c>
      <c r="M125" s="2" t="str">
        <f t="shared" si="2"/>
        <v>Apr</v>
      </c>
      <c r="N125" s="2" t="str">
        <f t="shared" si="3"/>
        <v>medium</v>
      </c>
      <c r="O125" s="2"/>
    </row>
    <row r="126" spans="1:15">
      <c r="A126" t="s">
        <v>184</v>
      </c>
      <c r="B126" s="1">
        <v>45508</v>
      </c>
      <c r="C126" t="s">
        <v>13</v>
      </c>
      <c r="D126" t="s">
        <v>74</v>
      </c>
      <c r="E126" t="s">
        <v>80</v>
      </c>
      <c r="F126">
        <v>3</v>
      </c>
      <c r="G126">
        <v>4499.12</v>
      </c>
      <c r="H126" s="5">
        <v>0.1</v>
      </c>
      <c r="I126" t="s">
        <v>16</v>
      </c>
      <c r="J126" t="s">
        <v>49</v>
      </c>
      <c r="K126" t="s">
        <v>33</v>
      </c>
      <c r="L126">
        <v>12147.62</v>
      </c>
      <c r="M126" s="2" t="str">
        <f t="shared" si="2"/>
        <v>Aug</v>
      </c>
      <c r="N126" s="2" t="str">
        <f t="shared" si="3"/>
        <v>medium</v>
      </c>
      <c r="O126" s="2"/>
    </row>
    <row r="127" spans="1:15">
      <c r="A127" t="s">
        <v>185</v>
      </c>
      <c r="B127" s="1">
        <v>45461</v>
      </c>
      <c r="C127" t="s">
        <v>20</v>
      </c>
      <c r="D127" t="s">
        <v>78</v>
      </c>
      <c r="E127" t="s">
        <v>53</v>
      </c>
      <c r="F127">
        <v>2</v>
      </c>
      <c r="G127">
        <v>2639.19</v>
      </c>
      <c r="H127" s="5">
        <v>0.1</v>
      </c>
      <c r="I127" t="s">
        <v>16</v>
      </c>
      <c r="J127" t="s">
        <v>49</v>
      </c>
      <c r="K127" t="s">
        <v>33</v>
      </c>
      <c r="L127">
        <v>4750.54</v>
      </c>
      <c r="M127" s="2" t="str">
        <f t="shared" si="2"/>
        <v>Jun</v>
      </c>
      <c r="N127" s="2" t="str">
        <f t="shared" si="3"/>
        <v>low</v>
      </c>
      <c r="O127" s="2"/>
    </row>
    <row r="128" spans="1:15">
      <c r="A128" t="s">
        <v>186</v>
      </c>
      <c r="B128" s="1">
        <v>45496</v>
      </c>
      <c r="C128" t="s">
        <v>25</v>
      </c>
      <c r="D128" t="s">
        <v>94</v>
      </c>
      <c r="E128" t="s">
        <v>32</v>
      </c>
      <c r="F128">
        <v>3</v>
      </c>
      <c r="G128">
        <v>1001.73</v>
      </c>
      <c r="H128" s="5">
        <v>0</v>
      </c>
      <c r="I128" t="s">
        <v>16</v>
      </c>
      <c r="J128" t="s">
        <v>49</v>
      </c>
      <c r="K128" t="s">
        <v>33</v>
      </c>
      <c r="L128">
        <v>3005.19</v>
      </c>
      <c r="M128" s="2" t="str">
        <f t="shared" si="2"/>
        <v>Jul</v>
      </c>
      <c r="N128" s="2" t="str">
        <f t="shared" si="3"/>
        <v>low</v>
      </c>
      <c r="O128" s="2"/>
    </row>
    <row r="129" spans="1:15">
      <c r="A129" t="s">
        <v>187</v>
      </c>
      <c r="B129" s="1">
        <v>45400</v>
      </c>
      <c r="C129" t="s">
        <v>25</v>
      </c>
      <c r="D129" t="s">
        <v>26</v>
      </c>
      <c r="E129" t="s">
        <v>53</v>
      </c>
      <c r="F129">
        <v>1</v>
      </c>
      <c r="G129">
        <v>5385.97</v>
      </c>
      <c r="H129" s="5">
        <v>0.25</v>
      </c>
      <c r="I129" t="s">
        <v>22</v>
      </c>
      <c r="J129" t="s">
        <v>40</v>
      </c>
      <c r="K129" t="s">
        <v>18</v>
      </c>
      <c r="L129">
        <v>4039.48</v>
      </c>
      <c r="M129" s="2" t="str">
        <f t="shared" si="2"/>
        <v>Apr</v>
      </c>
      <c r="N129" s="2" t="str">
        <f t="shared" si="3"/>
        <v>low</v>
      </c>
      <c r="O129" s="2"/>
    </row>
    <row r="130" spans="1:15">
      <c r="A130" t="s">
        <v>188</v>
      </c>
      <c r="B130" s="1">
        <v>45579</v>
      </c>
      <c r="C130" t="s">
        <v>13</v>
      </c>
      <c r="D130" t="s">
        <v>14</v>
      </c>
      <c r="E130" t="s">
        <v>27</v>
      </c>
      <c r="F130">
        <v>6</v>
      </c>
      <c r="G130">
        <v>2175.3200000000002</v>
      </c>
      <c r="H130" s="5">
        <v>0.1</v>
      </c>
      <c r="I130" t="s">
        <v>16</v>
      </c>
      <c r="J130" t="s">
        <v>40</v>
      </c>
      <c r="K130" t="s">
        <v>33</v>
      </c>
      <c r="L130">
        <v>11746.73</v>
      </c>
      <c r="M130" s="2" t="str">
        <f t="shared" ref="M130:M193" si="4">TEXT(B130,"mmm")</f>
        <v>Oct</v>
      </c>
      <c r="N130" s="2" t="str">
        <f t="shared" ref="N130:N193" si="5">IF(L130&gt;20000,"high",IF(L130&gt;10000,"medium","low"))</f>
        <v>medium</v>
      </c>
      <c r="O130" s="2"/>
    </row>
    <row r="131" spans="1:15">
      <c r="A131" t="s">
        <v>189</v>
      </c>
      <c r="B131" s="1">
        <v>45352</v>
      </c>
      <c r="C131" t="s">
        <v>25</v>
      </c>
      <c r="D131" t="s">
        <v>94</v>
      </c>
      <c r="E131" t="s">
        <v>32</v>
      </c>
      <c r="F131">
        <v>4</v>
      </c>
      <c r="G131">
        <v>4666.2700000000004</v>
      </c>
      <c r="H131" s="5">
        <v>0.2</v>
      </c>
      <c r="I131" t="s">
        <v>55</v>
      </c>
      <c r="J131" t="s">
        <v>23</v>
      </c>
      <c r="K131" t="s">
        <v>33</v>
      </c>
      <c r="L131">
        <v>14932.06</v>
      </c>
      <c r="M131" s="2" t="str">
        <f t="shared" si="4"/>
        <v>Mar</v>
      </c>
      <c r="N131" s="2" t="str">
        <f t="shared" si="5"/>
        <v>medium</v>
      </c>
      <c r="O131" s="2"/>
    </row>
    <row r="132" spans="1:15">
      <c r="A132" t="s">
        <v>190</v>
      </c>
      <c r="B132" s="1">
        <v>45334</v>
      </c>
      <c r="C132" t="s">
        <v>38</v>
      </c>
      <c r="D132" t="s">
        <v>51</v>
      </c>
      <c r="E132" t="s">
        <v>53</v>
      </c>
      <c r="F132">
        <v>6</v>
      </c>
      <c r="G132">
        <v>3856.71</v>
      </c>
      <c r="H132" s="5">
        <v>0.05</v>
      </c>
      <c r="I132" t="s">
        <v>22</v>
      </c>
      <c r="J132" t="s">
        <v>40</v>
      </c>
      <c r="K132" t="s">
        <v>33</v>
      </c>
      <c r="L132">
        <v>21983.25</v>
      </c>
      <c r="M132" s="2" t="str">
        <f t="shared" si="4"/>
        <v>Feb</v>
      </c>
      <c r="N132" s="2" t="str">
        <f t="shared" si="5"/>
        <v>high</v>
      </c>
      <c r="O132" s="2"/>
    </row>
    <row r="133" spans="1:15">
      <c r="A133" t="s">
        <v>191</v>
      </c>
      <c r="B133" s="1">
        <v>45301</v>
      </c>
      <c r="C133" t="s">
        <v>35</v>
      </c>
      <c r="D133" t="s">
        <v>63</v>
      </c>
      <c r="E133" t="s">
        <v>44</v>
      </c>
      <c r="F133">
        <v>3</v>
      </c>
      <c r="G133">
        <v>5796.91</v>
      </c>
      <c r="H133" s="5">
        <v>0.1</v>
      </c>
      <c r="I133" t="s">
        <v>55</v>
      </c>
      <c r="J133" t="s">
        <v>23</v>
      </c>
      <c r="K133" t="s">
        <v>18</v>
      </c>
      <c r="L133">
        <v>15651.66</v>
      </c>
      <c r="M133" s="2" t="str">
        <f t="shared" si="4"/>
        <v>Jan</v>
      </c>
      <c r="N133" s="2" t="str">
        <f t="shared" si="5"/>
        <v>medium</v>
      </c>
      <c r="O133" s="2"/>
    </row>
    <row r="134" spans="1:15">
      <c r="A134" t="s">
        <v>192</v>
      </c>
      <c r="B134" s="1">
        <v>45527</v>
      </c>
      <c r="C134" t="s">
        <v>13</v>
      </c>
      <c r="D134" t="s">
        <v>70</v>
      </c>
      <c r="E134" t="s">
        <v>44</v>
      </c>
      <c r="F134">
        <v>6</v>
      </c>
      <c r="G134">
        <v>7468.92</v>
      </c>
      <c r="H134" s="5">
        <v>0.1</v>
      </c>
      <c r="I134" t="s">
        <v>16</v>
      </c>
      <c r="J134" t="s">
        <v>49</v>
      </c>
      <c r="K134" t="s">
        <v>18</v>
      </c>
      <c r="L134">
        <v>40332.17</v>
      </c>
      <c r="M134" s="2" t="str">
        <f t="shared" si="4"/>
        <v>Aug</v>
      </c>
      <c r="N134" s="2" t="str">
        <f t="shared" si="5"/>
        <v>high</v>
      </c>
      <c r="O134" s="2"/>
    </row>
    <row r="135" spans="1:15">
      <c r="A135" t="s">
        <v>193</v>
      </c>
      <c r="B135" s="1">
        <v>45599</v>
      </c>
      <c r="C135" t="s">
        <v>38</v>
      </c>
      <c r="D135" t="s">
        <v>100</v>
      </c>
      <c r="E135" t="s">
        <v>27</v>
      </c>
      <c r="F135">
        <v>2</v>
      </c>
      <c r="G135">
        <v>7667.94</v>
      </c>
      <c r="H135" s="5">
        <v>0.25</v>
      </c>
      <c r="I135" t="s">
        <v>28</v>
      </c>
      <c r="J135" t="s">
        <v>23</v>
      </c>
      <c r="K135" t="s">
        <v>33</v>
      </c>
      <c r="L135">
        <v>11501.91</v>
      </c>
      <c r="M135" s="2" t="str">
        <f t="shared" si="4"/>
        <v>Nov</v>
      </c>
      <c r="N135" s="2" t="str">
        <f t="shared" si="5"/>
        <v>medium</v>
      </c>
      <c r="O135" s="2"/>
    </row>
    <row r="136" spans="1:15">
      <c r="A136" t="s">
        <v>194</v>
      </c>
      <c r="B136" s="1">
        <v>45614</v>
      </c>
      <c r="C136" t="s">
        <v>35</v>
      </c>
      <c r="D136" t="s">
        <v>97</v>
      </c>
      <c r="E136" t="s">
        <v>47</v>
      </c>
      <c r="F136">
        <v>4</v>
      </c>
      <c r="G136">
        <v>3894.15</v>
      </c>
      <c r="H136" s="5">
        <v>0.25</v>
      </c>
      <c r="I136" t="s">
        <v>16</v>
      </c>
      <c r="J136" t="s">
        <v>49</v>
      </c>
      <c r="K136" t="s">
        <v>33</v>
      </c>
      <c r="L136">
        <v>11682.45</v>
      </c>
      <c r="M136" s="2" t="str">
        <f t="shared" si="4"/>
        <v>Nov</v>
      </c>
      <c r="N136" s="2" t="str">
        <f t="shared" si="5"/>
        <v>medium</v>
      </c>
      <c r="O136" s="2"/>
    </row>
    <row r="137" spans="1:15">
      <c r="A137" t="s">
        <v>195</v>
      </c>
      <c r="B137" s="1">
        <v>45599</v>
      </c>
      <c r="C137" t="s">
        <v>25</v>
      </c>
      <c r="D137" t="s">
        <v>31</v>
      </c>
      <c r="E137" t="s">
        <v>47</v>
      </c>
      <c r="F137">
        <v>3</v>
      </c>
      <c r="G137">
        <v>4739.6499999999996</v>
      </c>
      <c r="H137" s="5">
        <v>0.1</v>
      </c>
      <c r="I137" t="s">
        <v>55</v>
      </c>
      <c r="J137" t="s">
        <v>17</v>
      </c>
      <c r="K137" t="s">
        <v>33</v>
      </c>
      <c r="L137">
        <v>12797.05</v>
      </c>
      <c r="M137" s="2" t="str">
        <f t="shared" si="4"/>
        <v>Nov</v>
      </c>
      <c r="N137" s="2" t="str">
        <f t="shared" si="5"/>
        <v>medium</v>
      </c>
      <c r="O137" s="2"/>
    </row>
    <row r="138" spans="1:15">
      <c r="A138" t="s">
        <v>196</v>
      </c>
      <c r="B138" s="1">
        <v>45429</v>
      </c>
      <c r="C138" t="s">
        <v>35</v>
      </c>
      <c r="D138" t="s">
        <v>97</v>
      </c>
      <c r="E138" t="s">
        <v>27</v>
      </c>
      <c r="F138">
        <v>4</v>
      </c>
      <c r="G138">
        <v>1384.65</v>
      </c>
      <c r="H138" s="5">
        <v>0</v>
      </c>
      <c r="I138" t="s">
        <v>16</v>
      </c>
      <c r="J138" t="s">
        <v>29</v>
      </c>
      <c r="K138" t="s">
        <v>33</v>
      </c>
      <c r="L138">
        <v>5538.6</v>
      </c>
      <c r="M138" s="2" t="str">
        <f t="shared" si="4"/>
        <v>May</v>
      </c>
      <c r="N138" s="2" t="str">
        <f t="shared" si="5"/>
        <v>low</v>
      </c>
      <c r="O138" s="2"/>
    </row>
    <row r="139" spans="1:15">
      <c r="A139" t="s">
        <v>197</v>
      </c>
      <c r="B139" s="1">
        <v>45568</v>
      </c>
      <c r="C139" t="s">
        <v>13</v>
      </c>
      <c r="D139" t="s">
        <v>70</v>
      </c>
      <c r="E139" t="s">
        <v>53</v>
      </c>
      <c r="F139">
        <v>5</v>
      </c>
      <c r="G139">
        <v>3955.39</v>
      </c>
      <c r="H139" s="5">
        <v>0.2</v>
      </c>
      <c r="I139" t="s">
        <v>16</v>
      </c>
      <c r="J139" t="s">
        <v>40</v>
      </c>
      <c r="K139" t="s">
        <v>33</v>
      </c>
      <c r="L139">
        <v>15821.56</v>
      </c>
      <c r="M139" s="2" t="str">
        <f t="shared" si="4"/>
        <v>Oct</v>
      </c>
      <c r="N139" s="2" t="str">
        <f t="shared" si="5"/>
        <v>medium</v>
      </c>
      <c r="O139" s="2"/>
    </row>
    <row r="140" spans="1:15">
      <c r="A140" t="s">
        <v>198</v>
      </c>
      <c r="B140" s="1">
        <v>45592</v>
      </c>
      <c r="C140" t="s">
        <v>38</v>
      </c>
      <c r="D140" t="s">
        <v>164</v>
      </c>
      <c r="E140" t="s">
        <v>27</v>
      </c>
      <c r="F140">
        <v>1</v>
      </c>
      <c r="G140">
        <v>6364.57</v>
      </c>
      <c r="H140" s="5">
        <v>0.25</v>
      </c>
      <c r="I140" t="s">
        <v>28</v>
      </c>
      <c r="J140" t="s">
        <v>49</v>
      </c>
      <c r="K140" t="s">
        <v>33</v>
      </c>
      <c r="L140">
        <v>4773.43</v>
      </c>
      <c r="M140" s="2" t="str">
        <f t="shared" si="4"/>
        <v>Oct</v>
      </c>
      <c r="N140" s="2" t="str">
        <f t="shared" si="5"/>
        <v>low</v>
      </c>
      <c r="O140" s="2"/>
    </row>
    <row r="141" spans="1:15">
      <c r="A141" t="s">
        <v>199</v>
      </c>
      <c r="B141" s="1">
        <v>45551</v>
      </c>
      <c r="C141" t="s">
        <v>25</v>
      </c>
      <c r="D141" t="s">
        <v>46</v>
      </c>
      <c r="E141" t="s">
        <v>44</v>
      </c>
      <c r="F141">
        <v>5</v>
      </c>
      <c r="G141">
        <v>1734.68</v>
      </c>
      <c r="H141" s="5">
        <v>0.1</v>
      </c>
      <c r="I141" t="s">
        <v>16</v>
      </c>
      <c r="J141" t="s">
        <v>29</v>
      </c>
      <c r="K141" t="s">
        <v>33</v>
      </c>
      <c r="L141">
        <v>7806.06</v>
      </c>
      <c r="M141" s="2" t="str">
        <f t="shared" si="4"/>
        <v>Sep</v>
      </c>
      <c r="N141" s="2" t="str">
        <f t="shared" si="5"/>
        <v>low</v>
      </c>
      <c r="O141" s="2"/>
    </row>
    <row r="142" spans="1:15">
      <c r="A142" t="s">
        <v>200</v>
      </c>
      <c r="B142" s="1">
        <v>45314</v>
      </c>
      <c r="C142" t="s">
        <v>25</v>
      </c>
      <c r="D142" t="s">
        <v>26</v>
      </c>
      <c r="E142" t="s">
        <v>1160</v>
      </c>
      <c r="F142">
        <v>4</v>
      </c>
      <c r="G142">
        <v>3086.22</v>
      </c>
      <c r="H142" s="5">
        <v>0</v>
      </c>
      <c r="I142" t="s">
        <v>16</v>
      </c>
      <c r="J142" t="s">
        <v>29</v>
      </c>
      <c r="K142" t="s">
        <v>33</v>
      </c>
      <c r="L142">
        <v>12344.88</v>
      </c>
      <c r="M142" s="2" t="str">
        <f t="shared" si="4"/>
        <v>Jan</v>
      </c>
      <c r="N142" s="2" t="str">
        <f t="shared" si="5"/>
        <v>medium</v>
      </c>
      <c r="O142" s="2"/>
    </row>
    <row r="143" spans="1:15">
      <c r="A143" t="s">
        <v>201</v>
      </c>
      <c r="B143" s="1">
        <v>45340</v>
      </c>
      <c r="C143" t="s">
        <v>25</v>
      </c>
      <c r="D143" t="s">
        <v>94</v>
      </c>
      <c r="E143" t="s">
        <v>32</v>
      </c>
      <c r="F143">
        <v>1</v>
      </c>
      <c r="G143">
        <v>1756.45</v>
      </c>
      <c r="H143" s="5">
        <v>0.25</v>
      </c>
      <c r="I143" t="s">
        <v>28</v>
      </c>
      <c r="J143" t="s">
        <v>17</v>
      </c>
      <c r="K143" t="s">
        <v>33</v>
      </c>
      <c r="L143">
        <v>1317.34</v>
      </c>
      <c r="M143" s="2" t="str">
        <f t="shared" si="4"/>
        <v>Feb</v>
      </c>
      <c r="N143" s="2" t="str">
        <f t="shared" si="5"/>
        <v>low</v>
      </c>
      <c r="O143" s="2"/>
    </row>
    <row r="144" spans="1:15">
      <c r="A144" t="s">
        <v>202</v>
      </c>
      <c r="B144" s="1">
        <v>45394</v>
      </c>
      <c r="C144" t="s">
        <v>13</v>
      </c>
      <c r="D144" t="s">
        <v>76</v>
      </c>
      <c r="E144" t="s">
        <v>80</v>
      </c>
      <c r="F144">
        <v>2</v>
      </c>
      <c r="G144">
        <v>3118.89</v>
      </c>
      <c r="H144" s="5">
        <v>0</v>
      </c>
      <c r="I144" t="s">
        <v>16</v>
      </c>
      <c r="J144" t="s">
        <v>40</v>
      </c>
      <c r="K144" t="s">
        <v>33</v>
      </c>
      <c r="L144">
        <v>6237.78</v>
      </c>
      <c r="M144" s="2" t="str">
        <f t="shared" si="4"/>
        <v>Apr</v>
      </c>
      <c r="N144" s="2" t="str">
        <f t="shared" si="5"/>
        <v>low</v>
      </c>
      <c r="O144" s="2"/>
    </row>
    <row r="145" spans="1:15">
      <c r="A145" t="s">
        <v>203</v>
      </c>
      <c r="B145" s="1">
        <v>45455</v>
      </c>
      <c r="C145" t="s">
        <v>35</v>
      </c>
      <c r="D145" t="s">
        <v>68</v>
      </c>
      <c r="E145" t="s">
        <v>27</v>
      </c>
      <c r="F145">
        <v>5</v>
      </c>
      <c r="G145">
        <v>1980.68</v>
      </c>
      <c r="H145" s="5">
        <v>0</v>
      </c>
      <c r="I145" t="s">
        <v>22</v>
      </c>
      <c r="J145" t="s">
        <v>23</v>
      </c>
      <c r="K145" t="s">
        <v>33</v>
      </c>
      <c r="L145">
        <v>9903.4</v>
      </c>
      <c r="M145" s="2" t="str">
        <f t="shared" si="4"/>
        <v>Jun</v>
      </c>
      <c r="N145" s="2" t="str">
        <f t="shared" si="5"/>
        <v>low</v>
      </c>
      <c r="O145" s="2"/>
    </row>
    <row r="146" spans="1:15">
      <c r="A146" t="s">
        <v>204</v>
      </c>
      <c r="B146" s="1">
        <v>45472</v>
      </c>
      <c r="C146" t="s">
        <v>20</v>
      </c>
      <c r="D146" t="s">
        <v>21</v>
      </c>
      <c r="E146" t="s">
        <v>27</v>
      </c>
      <c r="F146">
        <v>1</v>
      </c>
      <c r="G146">
        <v>7236.62</v>
      </c>
      <c r="H146" s="5">
        <v>0</v>
      </c>
      <c r="I146" t="s">
        <v>16</v>
      </c>
      <c r="J146" t="s">
        <v>17</v>
      </c>
      <c r="K146" t="s">
        <v>18</v>
      </c>
      <c r="L146">
        <v>7236.62</v>
      </c>
      <c r="M146" s="2" t="str">
        <f t="shared" si="4"/>
        <v>Jun</v>
      </c>
      <c r="N146" s="2" t="str">
        <f t="shared" si="5"/>
        <v>low</v>
      </c>
      <c r="O146" s="2"/>
    </row>
    <row r="147" spans="1:15">
      <c r="A147" t="s">
        <v>205</v>
      </c>
      <c r="B147" s="1">
        <v>45294</v>
      </c>
      <c r="C147" t="s">
        <v>35</v>
      </c>
      <c r="D147" t="s">
        <v>63</v>
      </c>
      <c r="E147" t="s">
        <v>80</v>
      </c>
      <c r="F147">
        <v>2</v>
      </c>
      <c r="G147">
        <v>5463.58</v>
      </c>
      <c r="H147" s="5">
        <v>0.1</v>
      </c>
      <c r="I147" t="s">
        <v>28</v>
      </c>
      <c r="J147" t="s">
        <v>29</v>
      </c>
      <c r="K147" t="s">
        <v>33</v>
      </c>
      <c r="L147">
        <v>9834.44</v>
      </c>
      <c r="M147" s="2" t="str">
        <f t="shared" si="4"/>
        <v>Jan</v>
      </c>
      <c r="N147" s="2" t="str">
        <f t="shared" si="5"/>
        <v>low</v>
      </c>
      <c r="O147" s="2"/>
    </row>
    <row r="148" spans="1:15">
      <c r="A148" t="s">
        <v>206</v>
      </c>
      <c r="B148" s="1">
        <v>45486</v>
      </c>
      <c r="C148" t="s">
        <v>35</v>
      </c>
      <c r="D148" t="s">
        <v>97</v>
      </c>
      <c r="E148" t="s">
        <v>44</v>
      </c>
      <c r="F148">
        <v>2</v>
      </c>
      <c r="G148">
        <v>3614.87</v>
      </c>
      <c r="H148" s="5">
        <v>0.05</v>
      </c>
      <c r="I148" t="s">
        <v>22</v>
      </c>
      <c r="J148" t="s">
        <v>23</v>
      </c>
      <c r="K148" t="s">
        <v>33</v>
      </c>
      <c r="L148">
        <v>6868.25</v>
      </c>
      <c r="M148" s="2" t="str">
        <f t="shared" si="4"/>
        <v>Jul</v>
      </c>
      <c r="N148" s="2" t="str">
        <f t="shared" si="5"/>
        <v>low</v>
      </c>
      <c r="O148" s="2"/>
    </row>
    <row r="149" spans="1:15">
      <c r="A149" t="s">
        <v>207</v>
      </c>
      <c r="B149" s="1">
        <v>45363</v>
      </c>
      <c r="C149" t="s">
        <v>35</v>
      </c>
      <c r="D149" t="s">
        <v>36</v>
      </c>
      <c r="E149" t="s">
        <v>80</v>
      </c>
      <c r="F149">
        <v>4</v>
      </c>
      <c r="G149">
        <v>7669.94</v>
      </c>
      <c r="H149" s="5">
        <v>0.2</v>
      </c>
      <c r="I149" t="s">
        <v>16</v>
      </c>
      <c r="J149" t="s">
        <v>17</v>
      </c>
      <c r="K149" t="s">
        <v>18</v>
      </c>
      <c r="L149">
        <v>24543.81</v>
      </c>
      <c r="M149" s="2" t="str">
        <f t="shared" si="4"/>
        <v>Mar</v>
      </c>
      <c r="N149" s="2" t="str">
        <f t="shared" si="5"/>
        <v>high</v>
      </c>
      <c r="O149" s="2"/>
    </row>
    <row r="150" spans="1:15">
      <c r="A150" t="s">
        <v>208</v>
      </c>
      <c r="B150" s="1">
        <v>45405</v>
      </c>
      <c r="C150" t="s">
        <v>13</v>
      </c>
      <c r="D150" t="s">
        <v>14</v>
      </c>
      <c r="E150" t="s">
        <v>80</v>
      </c>
      <c r="F150">
        <v>6</v>
      </c>
      <c r="G150">
        <v>595.29999999999995</v>
      </c>
      <c r="H150" s="5">
        <v>0.25</v>
      </c>
      <c r="I150" t="s">
        <v>28</v>
      </c>
      <c r="J150" t="s">
        <v>23</v>
      </c>
      <c r="K150" t="s">
        <v>33</v>
      </c>
      <c r="L150">
        <v>2678.85</v>
      </c>
      <c r="M150" s="2" t="str">
        <f t="shared" si="4"/>
        <v>Apr</v>
      </c>
      <c r="N150" s="2" t="str">
        <f t="shared" si="5"/>
        <v>low</v>
      </c>
      <c r="O150" s="2"/>
    </row>
    <row r="151" spans="1:15">
      <c r="A151" t="s">
        <v>209</v>
      </c>
      <c r="B151" s="1">
        <v>45463</v>
      </c>
      <c r="C151" t="s">
        <v>35</v>
      </c>
      <c r="D151" t="s">
        <v>97</v>
      </c>
      <c r="E151" t="s">
        <v>27</v>
      </c>
      <c r="F151">
        <v>2</v>
      </c>
      <c r="G151">
        <v>2196.2800000000002</v>
      </c>
      <c r="H151" s="5">
        <v>0</v>
      </c>
      <c r="I151" t="s">
        <v>16</v>
      </c>
      <c r="J151" t="s">
        <v>23</v>
      </c>
      <c r="K151" t="s">
        <v>33</v>
      </c>
      <c r="L151">
        <v>4392.5600000000004</v>
      </c>
      <c r="M151" s="2" t="str">
        <f t="shared" si="4"/>
        <v>Jun</v>
      </c>
      <c r="N151" s="2" t="str">
        <f t="shared" si="5"/>
        <v>low</v>
      </c>
      <c r="O151" s="2"/>
    </row>
    <row r="152" spans="1:15">
      <c r="A152" t="s">
        <v>210</v>
      </c>
      <c r="B152" s="1">
        <v>45395</v>
      </c>
      <c r="C152" t="s">
        <v>13</v>
      </c>
      <c r="D152" t="s">
        <v>76</v>
      </c>
      <c r="E152" t="s">
        <v>27</v>
      </c>
      <c r="F152">
        <v>3</v>
      </c>
      <c r="G152">
        <v>3541.67</v>
      </c>
      <c r="H152" s="5">
        <v>0.1</v>
      </c>
      <c r="I152" t="s">
        <v>16</v>
      </c>
      <c r="J152" t="s">
        <v>40</v>
      </c>
      <c r="K152" t="s">
        <v>33</v>
      </c>
      <c r="L152">
        <v>9562.51</v>
      </c>
      <c r="M152" s="2" t="str">
        <f t="shared" si="4"/>
        <v>Apr</v>
      </c>
      <c r="N152" s="2" t="str">
        <f t="shared" si="5"/>
        <v>low</v>
      </c>
      <c r="O152" s="2"/>
    </row>
    <row r="153" spans="1:15">
      <c r="A153" t="s">
        <v>211</v>
      </c>
      <c r="B153" s="1">
        <v>45551</v>
      </c>
      <c r="C153" t="s">
        <v>20</v>
      </c>
      <c r="D153" t="s">
        <v>21</v>
      </c>
      <c r="E153" t="s">
        <v>44</v>
      </c>
      <c r="F153">
        <v>3</v>
      </c>
      <c r="G153">
        <v>4159.66</v>
      </c>
      <c r="H153" s="5">
        <v>0.25</v>
      </c>
      <c r="I153" t="s">
        <v>16</v>
      </c>
      <c r="J153" t="s">
        <v>40</v>
      </c>
      <c r="K153" t="s">
        <v>33</v>
      </c>
      <c r="L153">
        <v>9359.24</v>
      </c>
      <c r="M153" s="2" t="str">
        <f t="shared" si="4"/>
        <v>Sep</v>
      </c>
      <c r="N153" s="2" t="str">
        <f t="shared" si="5"/>
        <v>low</v>
      </c>
      <c r="O153" s="2"/>
    </row>
    <row r="154" spans="1:15">
      <c r="A154" t="s">
        <v>212</v>
      </c>
      <c r="B154" s="1">
        <v>45362</v>
      </c>
      <c r="C154" t="s">
        <v>20</v>
      </c>
      <c r="D154" t="s">
        <v>59</v>
      </c>
      <c r="E154" t="s">
        <v>47</v>
      </c>
      <c r="F154">
        <v>2</v>
      </c>
      <c r="G154">
        <v>4244.97</v>
      </c>
      <c r="H154" s="5">
        <v>0.1</v>
      </c>
      <c r="I154" t="s">
        <v>22</v>
      </c>
      <c r="J154" t="s">
        <v>17</v>
      </c>
      <c r="K154" t="s">
        <v>33</v>
      </c>
      <c r="L154">
        <v>7640.95</v>
      </c>
      <c r="M154" s="2" t="str">
        <f t="shared" si="4"/>
        <v>Mar</v>
      </c>
      <c r="N154" s="2" t="str">
        <f t="shared" si="5"/>
        <v>low</v>
      </c>
      <c r="O154" s="2"/>
    </row>
    <row r="155" spans="1:15">
      <c r="A155" t="s">
        <v>213</v>
      </c>
      <c r="B155" s="1">
        <v>45605</v>
      </c>
      <c r="C155" t="s">
        <v>20</v>
      </c>
      <c r="D155" t="s">
        <v>61</v>
      </c>
      <c r="E155" t="s">
        <v>47</v>
      </c>
      <c r="F155">
        <v>6</v>
      </c>
      <c r="G155">
        <v>5705.9</v>
      </c>
      <c r="H155" s="5">
        <v>0.1</v>
      </c>
      <c r="I155" t="s">
        <v>28</v>
      </c>
      <c r="J155" t="s">
        <v>40</v>
      </c>
      <c r="K155" t="s">
        <v>33</v>
      </c>
      <c r="L155">
        <v>30811.86</v>
      </c>
      <c r="M155" s="2" t="str">
        <f t="shared" si="4"/>
        <v>Nov</v>
      </c>
      <c r="N155" s="2" t="str">
        <f t="shared" si="5"/>
        <v>high</v>
      </c>
      <c r="O155" s="2"/>
    </row>
    <row r="156" spans="1:15">
      <c r="A156" t="s">
        <v>214</v>
      </c>
      <c r="B156" s="1">
        <v>45338</v>
      </c>
      <c r="C156" t="s">
        <v>13</v>
      </c>
      <c r="D156" t="s">
        <v>108</v>
      </c>
      <c r="E156" t="s">
        <v>44</v>
      </c>
      <c r="F156">
        <v>1</v>
      </c>
      <c r="G156">
        <v>3364.71</v>
      </c>
      <c r="H156" s="5">
        <v>0.25</v>
      </c>
      <c r="I156" t="s">
        <v>16</v>
      </c>
      <c r="J156" t="s">
        <v>29</v>
      </c>
      <c r="K156" t="s">
        <v>18</v>
      </c>
      <c r="L156">
        <v>2523.5300000000002</v>
      </c>
      <c r="M156" s="2" t="str">
        <f t="shared" si="4"/>
        <v>Feb</v>
      </c>
      <c r="N156" s="2" t="str">
        <f t="shared" si="5"/>
        <v>low</v>
      </c>
      <c r="O156" s="2"/>
    </row>
    <row r="157" spans="1:15">
      <c r="A157" t="s">
        <v>215</v>
      </c>
      <c r="B157" s="1">
        <v>45474</v>
      </c>
      <c r="C157" t="s">
        <v>20</v>
      </c>
      <c r="D157" t="s">
        <v>59</v>
      </c>
      <c r="E157" t="s">
        <v>32</v>
      </c>
      <c r="F157">
        <v>5</v>
      </c>
      <c r="G157">
        <v>7467.13</v>
      </c>
      <c r="H157" s="5">
        <v>0</v>
      </c>
      <c r="I157" t="s">
        <v>16</v>
      </c>
      <c r="J157" t="s">
        <v>17</v>
      </c>
      <c r="K157" t="s">
        <v>18</v>
      </c>
      <c r="L157">
        <v>37335.65</v>
      </c>
      <c r="M157" s="2" t="str">
        <f t="shared" si="4"/>
        <v>Jul</v>
      </c>
      <c r="N157" s="2" t="str">
        <f t="shared" si="5"/>
        <v>high</v>
      </c>
      <c r="O157" s="2"/>
    </row>
    <row r="158" spans="1:15">
      <c r="A158" t="s">
        <v>216</v>
      </c>
      <c r="B158" s="1">
        <v>45520</v>
      </c>
      <c r="C158" t="s">
        <v>13</v>
      </c>
      <c r="D158" t="s">
        <v>76</v>
      </c>
      <c r="E158" t="s">
        <v>44</v>
      </c>
      <c r="F158">
        <v>5</v>
      </c>
      <c r="G158">
        <v>351.29</v>
      </c>
      <c r="H158" s="5">
        <v>0.05</v>
      </c>
      <c r="I158" t="s">
        <v>16</v>
      </c>
      <c r="J158" t="s">
        <v>29</v>
      </c>
      <c r="K158" t="s">
        <v>33</v>
      </c>
      <c r="L158">
        <v>1668.63</v>
      </c>
      <c r="M158" s="2" t="str">
        <f t="shared" si="4"/>
        <v>Aug</v>
      </c>
      <c r="N158" s="2" t="str">
        <f t="shared" si="5"/>
        <v>low</v>
      </c>
      <c r="O158" s="2"/>
    </row>
    <row r="159" spans="1:15">
      <c r="A159" t="s">
        <v>217</v>
      </c>
      <c r="B159" s="1">
        <v>45341</v>
      </c>
      <c r="C159" t="s">
        <v>25</v>
      </c>
      <c r="D159" t="s">
        <v>31</v>
      </c>
      <c r="E159" t="s">
        <v>32</v>
      </c>
      <c r="F159">
        <v>6</v>
      </c>
      <c r="G159">
        <v>5949.18</v>
      </c>
      <c r="H159" s="5">
        <v>0.1</v>
      </c>
      <c r="I159" t="s">
        <v>16</v>
      </c>
      <c r="J159" t="s">
        <v>17</v>
      </c>
      <c r="K159" t="s">
        <v>18</v>
      </c>
      <c r="L159">
        <v>32125.57</v>
      </c>
      <c r="M159" s="2" t="str">
        <f t="shared" si="4"/>
        <v>Feb</v>
      </c>
      <c r="N159" s="2" t="str">
        <f t="shared" si="5"/>
        <v>high</v>
      </c>
      <c r="O159" s="2"/>
    </row>
    <row r="160" spans="1:15">
      <c r="A160" t="s">
        <v>218</v>
      </c>
      <c r="B160" s="1">
        <v>45315</v>
      </c>
      <c r="C160" t="s">
        <v>13</v>
      </c>
      <c r="D160" t="s">
        <v>76</v>
      </c>
      <c r="E160" t="s">
        <v>47</v>
      </c>
      <c r="F160">
        <v>3</v>
      </c>
      <c r="G160">
        <v>1115.94</v>
      </c>
      <c r="H160" s="5">
        <v>0.25</v>
      </c>
      <c r="I160" t="s">
        <v>28</v>
      </c>
      <c r="J160" t="s">
        <v>23</v>
      </c>
      <c r="K160" t="s">
        <v>33</v>
      </c>
      <c r="L160">
        <v>2510.87</v>
      </c>
      <c r="M160" s="2" t="str">
        <f t="shared" si="4"/>
        <v>Jan</v>
      </c>
      <c r="N160" s="2" t="str">
        <f t="shared" si="5"/>
        <v>low</v>
      </c>
      <c r="O160" s="2"/>
    </row>
    <row r="161" spans="1:15">
      <c r="A161" t="s">
        <v>219</v>
      </c>
      <c r="B161" s="1">
        <v>45495</v>
      </c>
      <c r="C161" t="s">
        <v>20</v>
      </c>
      <c r="D161" t="s">
        <v>61</v>
      </c>
      <c r="E161" t="s">
        <v>44</v>
      </c>
      <c r="F161">
        <v>2</v>
      </c>
      <c r="G161">
        <v>7593.33</v>
      </c>
      <c r="H161" s="5">
        <v>0</v>
      </c>
      <c r="I161" t="s">
        <v>22</v>
      </c>
      <c r="J161" t="s">
        <v>17</v>
      </c>
      <c r="K161" t="s">
        <v>18</v>
      </c>
      <c r="L161">
        <v>15186.66</v>
      </c>
      <c r="M161" s="2" t="str">
        <f t="shared" si="4"/>
        <v>Jul</v>
      </c>
      <c r="N161" s="2" t="str">
        <f t="shared" si="5"/>
        <v>medium</v>
      </c>
      <c r="O161" s="2"/>
    </row>
    <row r="162" spans="1:15">
      <c r="A162" t="s">
        <v>220</v>
      </c>
      <c r="B162" s="1">
        <v>45415</v>
      </c>
      <c r="C162" t="s">
        <v>13</v>
      </c>
      <c r="D162" t="s">
        <v>108</v>
      </c>
      <c r="E162" t="s">
        <v>15</v>
      </c>
      <c r="F162">
        <v>3</v>
      </c>
      <c r="G162">
        <v>5766.9</v>
      </c>
      <c r="H162" s="5">
        <v>0.15</v>
      </c>
      <c r="I162" t="s">
        <v>55</v>
      </c>
      <c r="J162" t="s">
        <v>29</v>
      </c>
      <c r="K162" t="s">
        <v>33</v>
      </c>
      <c r="L162">
        <v>14705.59</v>
      </c>
      <c r="M162" s="2" t="str">
        <f t="shared" si="4"/>
        <v>May</v>
      </c>
      <c r="N162" s="2" t="str">
        <f t="shared" si="5"/>
        <v>medium</v>
      </c>
      <c r="O162" s="2"/>
    </row>
    <row r="163" spans="1:15">
      <c r="A163" t="s">
        <v>221</v>
      </c>
      <c r="B163" s="1">
        <v>45347</v>
      </c>
      <c r="C163" t="s">
        <v>38</v>
      </c>
      <c r="D163" t="s">
        <v>42</v>
      </c>
      <c r="E163" t="s">
        <v>80</v>
      </c>
      <c r="F163">
        <v>5</v>
      </c>
      <c r="G163">
        <v>1621.84</v>
      </c>
      <c r="H163" s="5">
        <v>0.15</v>
      </c>
      <c r="I163" t="s">
        <v>55</v>
      </c>
      <c r="J163" t="s">
        <v>17</v>
      </c>
      <c r="K163" t="s">
        <v>33</v>
      </c>
      <c r="L163">
        <v>6892.82</v>
      </c>
      <c r="M163" s="2" t="str">
        <f t="shared" si="4"/>
        <v>Feb</v>
      </c>
      <c r="N163" s="2" t="str">
        <f t="shared" si="5"/>
        <v>low</v>
      </c>
      <c r="O163" s="2"/>
    </row>
    <row r="164" spans="1:15">
      <c r="A164" t="s">
        <v>222</v>
      </c>
      <c r="B164" s="1">
        <v>45620</v>
      </c>
      <c r="C164" t="s">
        <v>35</v>
      </c>
      <c r="D164" t="s">
        <v>68</v>
      </c>
      <c r="E164" t="s">
        <v>32</v>
      </c>
      <c r="F164">
        <v>5</v>
      </c>
      <c r="G164">
        <v>2236.31</v>
      </c>
      <c r="H164" s="5">
        <v>0.1</v>
      </c>
      <c r="I164" t="s">
        <v>22</v>
      </c>
      <c r="J164" t="s">
        <v>49</v>
      </c>
      <c r="K164" t="s">
        <v>18</v>
      </c>
      <c r="L164">
        <v>10063.4</v>
      </c>
      <c r="M164" s="2" t="str">
        <f t="shared" si="4"/>
        <v>Nov</v>
      </c>
      <c r="N164" s="2" t="str">
        <f t="shared" si="5"/>
        <v>medium</v>
      </c>
      <c r="O164" s="2"/>
    </row>
    <row r="165" spans="1:15">
      <c r="A165" t="s">
        <v>223</v>
      </c>
      <c r="B165" s="1">
        <v>45439</v>
      </c>
      <c r="C165" t="s">
        <v>38</v>
      </c>
      <c r="D165" t="s">
        <v>164</v>
      </c>
      <c r="E165" t="s">
        <v>32</v>
      </c>
      <c r="F165">
        <v>1</v>
      </c>
      <c r="G165">
        <v>2547.48</v>
      </c>
      <c r="H165" s="5">
        <v>0.05</v>
      </c>
      <c r="I165" t="s">
        <v>16</v>
      </c>
      <c r="J165" t="s">
        <v>40</v>
      </c>
      <c r="K165" t="s">
        <v>33</v>
      </c>
      <c r="L165">
        <v>2420.11</v>
      </c>
      <c r="M165" s="2" t="str">
        <f t="shared" si="4"/>
        <v>May</v>
      </c>
      <c r="N165" s="2" t="str">
        <f t="shared" si="5"/>
        <v>low</v>
      </c>
      <c r="O165" s="2"/>
    </row>
    <row r="166" spans="1:15">
      <c r="A166" t="s">
        <v>224</v>
      </c>
      <c r="B166" s="1">
        <v>45517</v>
      </c>
      <c r="C166" t="s">
        <v>25</v>
      </c>
      <c r="D166" t="s">
        <v>94</v>
      </c>
      <c r="E166" t="s">
        <v>47</v>
      </c>
      <c r="F166">
        <v>1</v>
      </c>
      <c r="G166">
        <v>4166.3100000000004</v>
      </c>
      <c r="H166" s="5">
        <v>0.1</v>
      </c>
      <c r="I166" t="s">
        <v>55</v>
      </c>
      <c r="J166" t="s">
        <v>29</v>
      </c>
      <c r="K166" t="s">
        <v>33</v>
      </c>
      <c r="L166">
        <v>3749.68</v>
      </c>
      <c r="M166" s="2" t="str">
        <f t="shared" si="4"/>
        <v>Aug</v>
      </c>
      <c r="N166" s="2" t="str">
        <f t="shared" si="5"/>
        <v>low</v>
      </c>
      <c r="O166" s="2"/>
    </row>
    <row r="167" spans="1:15">
      <c r="A167" t="s">
        <v>225</v>
      </c>
      <c r="B167" s="1">
        <v>45624</v>
      </c>
      <c r="C167" t="s">
        <v>25</v>
      </c>
      <c r="D167" t="s">
        <v>94</v>
      </c>
      <c r="E167" t="s">
        <v>1160</v>
      </c>
      <c r="F167">
        <v>4</v>
      </c>
      <c r="G167">
        <v>1729.36</v>
      </c>
      <c r="H167" s="5">
        <v>0.15</v>
      </c>
      <c r="I167" t="s">
        <v>55</v>
      </c>
      <c r="J167" t="s">
        <v>40</v>
      </c>
      <c r="K167" t="s">
        <v>33</v>
      </c>
      <c r="L167">
        <v>5879.82</v>
      </c>
      <c r="M167" s="2" t="str">
        <f t="shared" si="4"/>
        <v>Nov</v>
      </c>
      <c r="N167" s="2" t="str">
        <f t="shared" si="5"/>
        <v>low</v>
      </c>
      <c r="O167" s="2"/>
    </row>
    <row r="168" spans="1:15">
      <c r="A168" t="s">
        <v>226</v>
      </c>
      <c r="B168" s="1">
        <v>45554</v>
      </c>
      <c r="C168" t="s">
        <v>13</v>
      </c>
      <c r="D168" t="s">
        <v>14</v>
      </c>
      <c r="E168" t="s">
        <v>1160</v>
      </c>
      <c r="F168">
        <v>5</v>
      </c>
      <c r="G168">
        <v>3157.9</v>
      </c>
      <c r="H168" s="5">
        <v>0.2</v>
      </c>
      <c r="I168" t="s">
        <v>16</v>
      </c>
      <c r="J168" t="s">
        <v>29</v>
      </c>
      <c r="K168" t="s">
        <v>33</v>
      </c>
      <c r="L168">
        <v>12631.6</v>
      </c>
      <c r="M168" s="2" t="str">
        <f t="shared" si="4"/>
        <v>Sep</v>
      </c>
      <c r="N168" s="2" t="str">
        <f t="shared" si="5"/>
        <v>medium</v>
      </c>
      <c r="O168" s="2"/>
    </row>
    <row r="169" spans="1:15">
      <c r="A169" t="s">
        <v>227</v>
      </c>
      <c r="B169" s="1">
        <v>45443</v>
      </c>
      <c r="C169" t="s">
        <v>13</v>
      </c>
      <c r="D169" t="s">
        <v>108</v>
      </c>
      <c r="E169" t="s">
        <v>1160</v>
      </c>
      <c r="F169">
        <v>1</v>
      </c>
      <c r="G169">
        <v>6211.21</v>
      </c>
      <c r="H169" s="5">
        <v>0.05</v>
      </c>
      <c r="I169" t="s">
        <v>28</v>
      </c>
      <c r="J169" t="s">
        <v>17</v>
      </c>
      <c r="K169" t="s">
        <v>33</v>
      </c>
      <c r="L169">
        <v>5900.65</v>
      </c>
      <c r="M169" s="2" t="str">
        <f t="shared" si="4"/>
        <v>May</v>
      </c>
      <c r="N169" s="2" t="str">
        <f t="shared" si="5"/>
        <v>low</v>
      </c>
      <c r="O169" s="2"/>
    </row>
    <row r="170" spans="1:15">
      <c r="A170" t="s">
        <v>228</v>
      </c>
      <c r="B170" s="1">
        <v>45638</v>
      </c>
      <c r="C170" t="s">
        <v>13</v>
      </c>
      <c r="D170" t="s">
        <v>76</v>
      </c>
      <c r="E170" t="s">
        <v>1160</v>
      </c>
      <c r="F170">
        <v>6</v>
      </c>
      <c r="G170">
        <v>7481.51</v>
      </c>
      <c r="H170" s="5">
        <v>0.2</v>
      </c>
      <c r="I170" t="s">
        <v>16</v>
      </c>
      <c r="J170" t="s">
        <v>29</v>
      </c>
      <c r="K170" t="s">
        <v>18</v>
      </c>
      <c r="L170">
        <v>35911.25</v>
      </c>
      <c r="M170" s="2" t="str">
        <f t="shared" si="4"/>
        <v>Dec</v>
      </c>
      <c r="N170" s="2" t="str">
        <f t="shared" si="5"/>
        <v>high</v>
      </c>
      <c r="O170" s="2"/>
    </row>
    <row r="171" spans="1:15">
      <c r="A171" t="s">
        <v>229</v>
      </c>
      <c r="B171" s="1">
        <v>45503</v>
      </c>
      <c r="C171" t="s">
        <v>38</v>
      </c>
      <c r="D171" t="s">
        <v>100</v>
      </c>
      <c r="E171" t="s">
        <v>47</v>
      </c>
      <c r="F171">
        <v>1</v>
      </c>
      <c r="G171">
        <v>183.94</v>
      </c>
      <c r="H171" s="5">
        <v>0</v>
      </c>
      <c r="I171" t="s">
        <v>55</v>
      </c>
      <c r="J171" t="s">
        <v>29</v>
      </c>
      <c r="K171" t="s">
        <v>18</v>
      </c>
      <c r="L171">
        <v>183.94</v>
      </c>
      <c r="M171" s="2" t="str">
        <f t="shared" si="4"/>
        <v>Jul</v>
      </c>
      <c r="N171" s="2" t="str">
        <f t="shared" si="5"/>
        <v>low</v>
      </c>
      <c r="O171" s="2"/>
    </row>
    <row r="172" spans="1:15">
      <c r="A172" t="s">
        <v>230</v>
      </c>
      <c r="B172" s="1">
        <v>45439</v>
      </c>
      <c r="C172" t="s">
        <v>38</v>
      </c>
      <c r="D172" t="s">
        <v>39</v>
      </c>
      <c r="E172" t="s">
        <v>44</v>
      </c>
      <c r="F172">
        <v>6</v>
      </c>
      <c r="G172">
        <v>2918.06</v>
      </c>
      <c r="H172" s="5">
        <v>0.15</v>
      </c>
      <c r="I172" t="s">
        <v>55</v>
      </c>
      <c r="J172" t="s">
        <v>17</v>
      </c>
      <c r="K172" t="s">
        <v>33</v>
      </c>
      <c r="L172">
        <f>(F172*G172)-(F172*G172)*H172</f>
        <v>14882.106</v>
      </c>
      <c r="M172" s="2" t="str">
        <f t="shared" si="4"/>
        <v>May</v>
      </c>
      <c r="N172" s="2" t="str">
        <f t="shared" si="5"/>
        <v>medium</v>
      </c>
      <c r="O172" s="2"/>
    </row>
    <row r="173" spans="1:15">
      <c r="A173" t="s">
        <v>231</v>
      </c>
      <c r="B173" s="1">
        <v>45566</v>
      </c>
      <c r="C173" t="s">
        <v>38</v>
      </c>
      <c r="D173" t="s">
        <v>100</v>
      </c>
      <c r="E173" t="s">
        <v>47</v>
      </c>
      <c r="F173">
        <v>3</v>
      </c>
      <c r="G173">
        <v>6453.18</v>
      </c>
      <c r="H173" s="5">
        <v>0.2</v>
      </c>
      <c r="I173" t="s">
        <v>28</v>
      </c>
      <c r="J173" t="s">
        <v>49</v>
      </c>
      <c r="K173" t="s">
        <v>33</v>
      </c>
      <c r="L173">
        <v>15487.63</v>
      </c>
      <c r="M173" s="2" t="str">
        <f t="shared" si="4"/>
        <v>Oct</v>
      </c>
      <c r="N173" s="2" t="str">
        <f t="shared" si="5"/>
        <v>medium</v>
      </c>
      <c r="O173" s="2"/>
    </row>
    <row r="174" spans="1:15">
      <c r="A174" t="s">
        <v>232</v>
      </c>
      <c r="B174" s="1">
        <v>45297</v>
      </c>
      <c r="C174" t="s">
        <v>13</v>
      </c>
      <c r="D174" t="s">
        <v>14</v>
      </c>
      <c r="E174" t="s">
        <v>15</v>
      </c>
      <c r="F174">
        <v>1</v>
      </c>
      <c r="G174">
        <v>522.41999999999996</v>
      </c>
      <c r="H174" s="5">
        <v>0.25</v>
      </c>
      <c r="I174" t="s">
        <v>16</v>
      </c>
      <c r="J174" t="s">
        <v>49</v>
      </c>
      <c r="K174" t="s">
        <v>33</v>
      </c>
      <c r="L174">
        <v>391.81</v>
      </c>
      <c r="M174" s="2" t="str">
        <f t="shared" si="4"/>
        <v>Jan</v>
      </c>
      <c r="N174" s="2" t="str">
        <f t="shared" si="5"/>
        <v>low</v>
      </c>
      <c r="O174" s="2"/>
    </row>
    <row r="175" spans="1:15">
      <c r="A175" t="s">
        <v>233</v>
      </c>
      <c r="B175" s="1">
        <v>45312</v>
      </c>
      <c r="C175" t="s">
        <v>38</v>
      </c>
      <c r="D175" t="s">
        <v>39</v>
      </c>
      <c r="E175" t="s">
        <v>80</v>
      </c>
      <c r="F175">
        <v>5</v>
      </c>
      <c r="G175">
        <v>5458.38</v>
      </c>
      <c r="H175" s="5">
        <v>0.25</v>
      </c>
      <c r="I175" t="s">
        <v>16</v>
      </c>
      <c r="J175" t="s">
        <v>17</v>
      </c>
      <c r="K175" t="s">
        <v>33</v>
      </c>
      <c r="L175">
        <v>20468.93</v>
      </c>
      <c r="M175" s="2" t="str">
        <f t="shared" si="4"/>
        <v>Jan</v>
      </c>
      <c r="N175" s="2" t="str">
        <f t="shared" si="5"/>
        <v>high</v>
      </c>
      <c r="O175" s="2"/>
    </row>
    <row r="176" spans="1:15">
      <c r="A176" t="s">
        <v>234</v>
      </c>
      <c r="B176" s="1">
        <v>45497</v>
      </c>
      <c r="C176" t="s">
        <v>20</v>
      </c>
      <c r="D176" t="s">
        <v>78</v>
      </c>
      <c r="E176" t="s">
        <v>44</v>
      </c>
      <c r="F176">
        <v>4</v>
      </c>
      <c r="G176">
        <v>6173.53</v>
      </c>
      <c r="H176" s="5">
        <v>0.15</v>
      </c>
      <c r="I176" t="s">
        <v>22</v>
      </c>
      <c r="J176" t="s">
        <v>40</v>
      </c>
      <c r="K176" t="s">
        <v>33</v>
      </c>
      <c r="L176">
        <v>20990</v>
      </c>
      <c r="M176" s="2" t="str">
        <f t="shared" si="4"/>
        <v>Jul</v>
      </c>
      <c r="N176" s="2" t="str">
        <f t="shared" si="5"/>
        <v>high</v>
      </c>
      <c r="O176" s="2"/>
    </row>
    <row r="177" spans="1:15">
      <c r="A177" t="s">
        <v>235</v>
      </c>
      <c r="B177" s="1">
        <v>45627</v>
      </c>
      <c r="C177" t="s">
        <v>25</v>
      </c>
      <c r="D177" t="s">
        <v>26</v>
      </c>
      <c r="E177" t="s">
        <v>53</v>
      </c>
      <c r="F177">
        <v>3</v>
      </c>
      <c r="G177">
        <v>5565.61</v>
      </c>
      <c r="H177" s="5">
        <v>0.2</v>
      </c>
      <c r="I177" t="s">
        <v>22</v>
      </c>
      <c r="J177" t="s">
        <v>23</v>
      </c>
      <c r="K177" t="s">
        <v>33</v>
      </c>
      <c r="L177">
        <v>13357.46</v>
      </c>
      <c r="M177" s="2" t="str">
        <f t="shared" si="4"/>
        <v>Dec</v>
      </c>
      <c r="N177" s="2" t="str">
        <f t="shared" si="5"/>
        <v>medium</v>
      </c>
      <c r="O177" s="2"/>
    </row>
    <row r="178" spans="1:15">
      <c r="A178" t="s">
        <v>236</v>
      </c>
      <c r="B178" s="1">
        <v>45472</v>
      </c>
      <c r="C178" t="s">
        <v>20</v>
      </c>
      <c r="D178" t="s">
        <v>21</v>
      </c>
      <c r="E178" t="s">
        <v>53</v>
      </c>
      <c r="F178">
        <v>5</v>
      </c>
      <c r="G178">
        <v>7950.93</v>
      </c>
      <c r="H178" s="5">
        <v>0</v>
      </c>
      <c r="I178" t="s">
        <v>22</v>
      </c>
      <c r="J178" t="s">
        <v>40</v>
      </c>
      <c r="K178" t="s">
        <v>33</v>
      </c>
      <c r="L178">
        <v>39754.65</v>
      </c>
      <c r="M178" s="2" t="str">
        <f t="shared" si="4"/>
        <v>Jun</v>
      </c>
      <c r="N178" s="2" t="str">
        <f t="shared" si="5"/>
        <v>high</v>
      </c>
      <c r="O178" s="2"/>
    </row>
    <row r="179" spans="1:15">
      <c r="A179" t="s">
        <v>237</v>
      </c>
      <c r="B179" s="1">
        <v>45634</v>
      </c>
      <c r="C179" t="s">
        <v>38</v>
      </c>
      <c r="D179" t="s">
        <v>42</v>
      </c>
      <c r="E179" t="s">
        <v>32</v>
      </c>
      <c r="F179">
        <v>1</v>
      </c>
      <c r="G179">
        <v>1693.71</v>
      </c>
      <c r="H179" s="5">
        <v>0.25</v>
      </c>
      <c r="I179" t="s">
        <v>28</v>
      </c>
      <c r="J179" t="s">
        <v>23</v>
      </c>
      <c r="K179" t="s">
        <v>33</v>
      </c>
      <c r="L179">
        <v>1270.28</v>
      </c>
      <c r="M179" s="2" t="str">
        <f t="shared" si="4"/>
        <v>Dec</v>
      </c>
      <c r="N179" s="2" t="str">
        <f t="shared" si="5"/>
        <v>low</v>
      </c>
      <c r="O179" s="2"/>
    </row>
    <row r="180" spans="1:15">
      <c r="A180" t="s">
        <v>238</v>
      </c>
      <c r="B180" s="1">
        <v>45366</v>
      </c>
      <c r="C180" t="s">
        <v>38</v>
      </c>
      <c r="D180" t="s">
        <v>51</v>
      </c>
      <c r="E180" t="s">
        <v>53</v>
      </c>
      <c r="F180">
        <v>2</v>
      </c>
      <c r="G180">
        <v>4219.63</v>
      </c>
      <c r="H180" s="5">
        <v>0</v>
      </c>
      <c r="I180" t="s">
        <v>16</v>
      </c>
      <c r="J180" t="s">
        <v>49</v>
      </c>
      <c r="K180" t="s">
        <v>33</v>
      </c>
      <c r="L180">
        <v>8439.26</v>
      </c>
      <c r="M180" s="2" t="str">
        <f t="shared" si="4"/>
        <v>Mar</v>
      </c>
      <c r="N180" s="2" t="str">
        <f t="shared" si="5"/>
        <v>low</v>
      </c>
      <c r="O180" s="2"/>
    </row>
    <row r="181" spans="1:15">
      <c r="A181" t="s">
        <v>239</v>
      </c>
      <c r="B181" s="1">
        <v>45365</v>
      </c>
      <c r="C181" t="s">
        <v>35</v>
      </c>
      <c r="D181" t="s">
        <v>68</v>
      </c>
      <c r="E181" t="s">
        <v>80</v>
      </c>
      <c r="F181">
        <v>6</v>
      </c>
      <c r="G181">
        <v>2020.36</v>
      </c>
      <c r="H181" s="5">
        <v>0.1</v>
      </c>
      <c r="I181" t="s">
        <v>16</v>
      </c>
      <c r="J181" t="s">
        <v>40</v>
      </c>
      <c r="K181" t="s">
        <v>33</v>
      </c>
      <c r="L181">
        <v>10909.94</v>
      </c>
      <c r="M181" s="2" t="str">
        <f t="shared" si="4"/>
        <v>Mar</v>
      </c>
      <c r="N181" s="2" t="str">
        <f t="shared" si="5"/>
        <v>medium</v>
      </c>
      <c r="O181" s="2"/>
    </row>
    <row r="182" spans="1:15">
      <c r="A182" t="s">
        <v>240</v>
      </c>
      <c r="B182" s="1">
        <v>45302</v>
      </c>
      <c r="C182" t="s">
        <v>20</v>
      </c>
      <c r="D182" t="s">
        <v>78</v>
      </c>
      <c r="E182" t="s">
        <v>15</v>
      </c>
      <c r="F182">
        <v>1</v>
      </c>
      <c r="G182">
        <v>1877.38</v>
      </c>
      <c r="H182" s="5">
        <v>0.2</v>
      </c>
      <c r="I182" t="s">
        <v>28</v>
      </c>
      <c r="J182" t="s">
        <v>23</v>
      </c>
      <c r="K182" t="s">
        <v>18</v>
      </c>
      <c r="L182">
        <v>1501.9</v>
      </c>
      <c r="M182" s="2" t="str">
        <f t="shared" si="4"/>
        <v>Jan</v>
      </c>
      <c r="N182" s="2" t="str">
        <f t="shared" si="5"/>
        <v>low</v>
      </c>
      <c r="O182" s="2"/>
    </row>
    <row r="183" spans="1:15">
      <c r="A183" t="s">
        <v>241</v>
      </c>
      <c r="B183" s="1">
        <v>45453</v>
      </c>
      <c r="C183" t="s">
        <v>20</v>
      </c>
      <c r="D183" t="s">
        <v>57</v>
      </c>
      <c r="E183" t="s">
        <v>47</v>
      </c>
      <c r="F183">
        <v>1</v>
      </c>
      <c r="G183">
        <v>7206.11</v>
      </c>
      <c r="H183" s="5">
        <v>0.25</v>
      </c>
      <c r="I183" t="s">
        <v>16</v>
      </c>
      <c r="J183" t="s">
        <v>40</v>
      </c>
      <c r="K183" t="s">
        <v>33</v>
      </c>
      <c r="L183">
        <v>5404.58</v>
      </c>
      <c r="M183" s="2" t="str">
        <f t="shared" si="4"/>
        <v>Jun</v>
      </c>
      <c r="N183" s="2" t="str">
        <f t="shared" si="5"/>
        <v>low</v>
      </c>
      <c r="O183" s="2"/>
    </row>
    <row r="184" spans="1:15">
      <c r="A184" t="s">
        <v>242</v>
      </c>
      <c r="B184" s="1">
        <v>45503</v>
      </c>
      <c r="C184" t="s">
        <v>38</v>
      </c>
      <c r="D184" t="s">
        <v>51</v>
      </c>
      <c r="E184" t="s">
        <v>1160</v>
      </c>
      <c r="F184">
        <v>3</v>
      </c>
      <c r="G184">
        <v>3278.99</v>
      </c>
      <c r="H184" s="5">
        <v>0.25</v>
      </c>
      <c r="I184" t="s">
        <v>16</v>
      </c>
      <c r="J184" t="s">
        <v>23</v>
      </c>
      <c r="K184" t="s">
        <v>18</v>
      </c>
      <c r="L184">
        <v>7377.73</v>
      </c>
      <c r="M184" s="2" t="str">
        <f t="shared" si="4"/>
        <v>Jul</v>
      </c>
      <c r="N184" s="2" t="str">
        <f t="shared" si="5"/>
        <v>low</v>
      </c>
      <c r="O184" s="2"/>
    </row>
    <row r="185" spans="1:15">
      <c r="A185" t="s">
        <v>243</v>
      </c>
      <c r="B185" s="1">
        <v>45350</v>
      </c>
      <c r="C185" t="s">
        <v>13</v>
      </c>
      <c r="D185" t="s">
        <v>74</v>
      </c>
      <c r="E185" t="s">
        <v>80</v>
      </c>
      <c r="F185">
        <v>3</v>
      </c>
      <c r="G185">
        <v>4339.9399999999996</v>
      </c>
      <c r="H185" s="5">
        <v>0.2</v>
      </c>
      <c r="I185" t="s">
        <v>16</v>
      </c>
      <c r="J185" t="s">
        <v>29</v>
      </c>
      <c r="K185" t="s">
        <v>33</v>
      </c>
      <c r="L185">
        <v>10415.86</v>
      </c>
      <c r="M185" s="2" t="str">
        <f t="shared" si="4"/>
        <v>Feb</v>
      </c>
      <c r="N185" s="2" t="str">
        <f t="shared" si="5"/>
        <v>medium</v>
      </c>
      <c r="O185" s="2"/>
    </row>
    <row r="186" spans="1:15">
      <c r="A186" t="s">
        <v>244</v>
      </c>
      <c r="B186" s="1">
        <v>45437</v>
      </c>
      <c r="C186" t="s">
        <v>38</v>
      </c>
      <c r="D186" t="s">
        <v>164</v>
      </c>
      <c r="E186" t="s">
        <v>44</v>
      </c>
      <c r="F186">
        <v>3</v>
      </c>
      <c r="G186">
        <v>2011.82</v>
      </c>
      <c r="H186" s="5">
        <v>0</v>
      </c>
      <c r="I186" t="s">
        <v>16</v>
      </c>
      <c r="J186" t="s">
        <v>40</v>
      </c>
      <c r="K186" t="s">
        <v>33</v>
      </c>
      <c r="L186">
        <v>6035.46</v>
      </c>
      <c r="M186" s="2" t="str">
        <f t="shared" si="4"/>
        <v>May</v>
      </c>
      <c r="N186" s="2" t="str">
        <f t="shared" si="5"/>
        <v>low</v>
      </c>
      <c r="O186" s="2"/>
    </row>
    <row r="187" spans="1:15">
      <c r="A187" t="s">
        <v>245</v>
      </c>
      <c r="B187" s="1">
        <v>45576</v>
      </c>
      <c r="C187" t="s">
        <v>13</v>
      </c>
      <c r="D187" t="s">
        <v>70</v>
      </c>
      <c r="E187" t="s">
        <v>47</v>
      </c>
      <c r="F187">
        <v>4</v>
      </c>
      <c r="G187">
        <v>3816.36</v>
      </c>
      <c r="H187" s="5">
        <v>0.1</v>
      </c>
      <c r="I187" t="s">
        <v>16</v>
      </c>
      <c r="J187" t="s">
        <v>49</v>
      </c>
      <c r="K187" t="s">
        <v>33</v>
      </c>
      <c r="L187">
        <v>13738.9</v>
      </c>
      <c r="M187" s="2" t="str">
        <f t="shared" si="4"/>
        <v>Oct</v>
      </c>
      <c r="N187" s="2" t="str">
        <f t="shared" si="5"/>
        <v>medium</v>
      </c>
      <c r="O187" s="2"/>
    </row>
    <row r="188" spans="1:15">
      <c r="A188" t="s">
        <v>246</v>
      </c>
      <c r="B188" s="1">
        <v>45408</v>
      </c>
      <c r="C188" t="s">
        <v>13</v>
      </c>
      <c r="D188" t="s">
        <v>74</v>
      </c>
      <c r="E188" t="s">
        <v>1160</v>
      </c>
      <c r="F188">
        <v>4</v>
      </c>
      <c r="G188">
        <v>5451.12</v>
      </c>
      <c r="H188" s="5">
        <v>0.1</v>
      </c>
      <c r="I188" t="s">
        <v>28</v>
      </c>
      <c r="J188" t="s">
        <v>49</v>
      </c>
      <c r="K188" t="s">
        <v>33</v>
      </c>
      <c r="L188">
        <v>19624.03</v>
      </c>
      <c r="M188" s="2" t="str">
        <f t="shared" si="4"/>
        <v>Apr</v>
      </c>
      <c r="N188" s="2" t="str">
        <f t="shared" si="5"/>
        <v>medium</v>
      </c>
      <c r="O188" s="2"/>
    </row>
    <row r="189" spans="1:15">
      <c r="A189" t="s">
        <v>247</v>
      </c>
      <c r="B189" s="1">
        <v>45569</v>
      </c>
      <c r="C189" t="s">
        <v>20</v>
      </c>
      <c r="D189" t="s">
        <v>21</v>
      </c>
      <c r="E189" t="s">
        <v>53</v>
      </c>
      <c r="F189">
        <v>3</v>
      </c>
      <c r="G189">
        <v>5927.12</v>
      </c>
      <c r="H189" s="5">
        <v>0.2</v>
      </c>
      <c r="I189" t="s">
        <v>16</v>
      </c>
      <c r="J189" t="s">
        <v>40</v>
      </c>
      <c r="K189" t="s">
        <v>33</v>
      </c>
      <c r="L189">
        <v>14225.09</v>
      </c>
      <c r="M189" s="2" t="str">
        <f t="shared" si="4"/>
        <v>Oct</v>
      </c>
      <c r="N189" s="2" t="str">
        <f t="shared" si="5"/>
        <v>medium</v>
      </c>
      <c r="O189" s="2"/>
    </row>
    <row r="190" spans="1:15">
      <c r="A190" t="s">
        <v>248</v>
      </c>
      <c r="B190" s="1">
        <v>45631</v>
      </c>
      <c r="C190" t="s">
        <v>20</v>
      </c>
      <c r="D190" t="s">
        <v>59</v>
      </c>
      <c r="E190" t="s">
        <v>1160</v>
      </c>
      <c r="F190">
        <v>1</v>
      </c>
      <c r="G190">
        <v>684.43</v>
      </c>
      <c r="H190" s="5">
        <v>0.15</v>
      </c>
      <c r="I190" t="s">
        <v>28</v>
      </c>
      <c r="J190" t="s">
        <v>29</v>
      </c>
      <c r="K190" t="s">
        <v>33</v>
      </c>
      <c r="L190">
        <v>581.77</v>
      </c>
      <c r="M190" s="2" t="str">
        <f t="shared" si="4"/>
        <v>Dec</v>
      </c>
      <c r="N190" s="2" t="str">
        <f t="shared" si="5"/>
        <v>low</v>
      </c>
      <c r="O190" s="2"/>
    </row>
    <row r="191" spans="1:15">
      <c r="A191" t="s">
        <v>249</v>
      </c>
      <c r="B191" s="1">
        <v>45498</v>
      </c>
      <c r="C191" t="s">
        <v>38</v>
      </c>
      <c r="D191" t="s">
        <v>100</v>
      </c>
      <c r="E191" t="s">
        <v>80</v>
      </c>
      <c r="F191">
        <v>4</v>
      </c>
      <c r="G191">
        <v>6233.72</v>
      </c>
      <c r="H191" s="5">
        <v>0.05</v>
      </c>
      <c r="I191" t="s">
        <v>16</v>
      </c>
      <c r="J191" t="s">
        <v>17</v>
      </c>
      <c r="K191" t="s">
        <v>18</v>
      </c>
      <c r="L191">
        <v>23688.14</v>
      </c>
      <c r="M191" s="2" t="str">
        <f t="shared" si="4"/>
        <v>Jul</v>
      </c>
      <c r="N191" s="2" t="str">
        <f t="shared" si="5"/>
        <v>high</v>
      </c>
      <c r="O191" s="2"/>
    </row>
    <row r="192" spans="1:15">
      <c r="A192" t="s">
        <v>250</v>
      </c>
      <c r="B192" s="1">
        <v>45472</v>
      </c>
      <c r="C192" t="s">
        <v>38</v>
      </c>
      <c r="D192" t="s">
        <v>164</v>
      </c>
      <c r="E192" t="s">
        <v>15</v>
      </c>
      <c r="F192">
        <v>6</v>
      </c>
      <c r="G192">
        <v>916.93</v>
      </c>
      <c r="H192" s="5">
        <v>0.1</v>
      </c>
      <c r="I192" t="s">
        <v>16</v>
      </c>
      <c r="J192" t="s">
        <v>17</v>
      </c>
      <c r="K192" t="s">
        <v>18</v>
      </c>
      <c r="L192">
        <v>4951.42</v>
      </c>
      <c r="M192" s="2" t="str">
        <f t="shared" si="4"/>
        <v>Jun</v>
      </c>
      <c r="N192" s="2" t="str">
        <f t="shared" si="5"/>
        <v>low</v>
      </c>
      <c r="O192" s="2"/>
    </row>
    <row r="193" spans="1:15">
      <c r="A193" t="s">
        <v>251</v>
      </c>
      <c r="B193" s="1">
        <v>45393</v>
      </c>
      <c r="C193" t="s">
        <v>25</v>
      </c>
      <c r="D193" t="s">
        <v>26</v>
      </c>
      <c r="E193" t="s">
        <v>15</v>
      </c>
      <c r="F193">
        <v>3</v>
      </c>
      <c r="G193">
        <v>1376.08</v>
      </c>
      <c r="H193" s="5">
        <v>0</v>
      </c>
      <c r="I193" t="s">
        <v>28</v>
      </c>
      <c r="J193" t="s">
        <v>49</v>
      </c>
      <c r="K193" t="s">
        <v>33</v>
      </c>
      <c r="L193">
        <v>4128.24</v>
      </c>
      <c r="M193" s="2" t="str">
        <f t="shared" si="4"/>
        <v>Apr</v>
      </c>
      <c r="N193" s="2" t="str">
        <f t="shared" si="5"/>
        <v>low</v>
      </c>
      <c r="O193" s="2"/>
    </row>
    <row r="194" spans="1:15">
      <c r="A194" t="s">
        <v>252</v>
      </c>
      <c r="B194" s="1">
        <v>45635</v>
      </c>
      <c r="C194" t="s">
        <v>25</v>
      </c>
      <c r="D194" t="s">
        <v>46</v>
      </c>
      <c r="E194" t="s">
        <v>15</v>
      </c>
      <c r="F194">
        <v>6</v>
      </c>
      <c r="G194">
        <v>4665.91</v>
      </c>
      <c r="H194" s="5">
        <v>0</v>
      </c>
      <c r="I194" t="s">
        <v>16</v>
      </c>
      <c r="J194" t="s">
        <v>49</v>
      </c>
      <c r="K194" t="s">
        <v>18</v>
      </c>
      <c r="L194">
        <v>27995.46</v>
      </c>
      <c r="M194" s="2" t="str">
        <f t="shared" ref="M194:M257" si="6">TEXT(B194,"mmm")</f>
        <v>Dec</v>
      </c>
      <c r="N194" s="2" t="str">
        <f t="shared" ref="N194:N257" si="7">IF(L194&gt;20000,"high",IF(L194&gt;10000,"medium","low"))</f>
        <v>high</v>
      </c>
      <c r="O194" s="2"/>
    </row>
    <row r="195" spans="1:15">
      <c r="A195" t="s">
        <v>253</v>
      </c>
      <c r="B195" s="1">
        <v>45455</v>
      </c>
      <c r="C195" t="s">
        <v>20</v>
      </c>
      <c r="D195" t="s">
        <v>21</v>
      </c>
      <c r="E195" t="s">
        <v>32</v>
      </c>
      <c r="F195">
        <v>2</v>
      </c>
      <c r="G195">
        <v>6250.4</v>
      </c>
      <c r="H195" s="5">
        <v>0.15</v>
      </c>
      <c r="I195" t="s">
        <v>22</v>
      </c>
      <c r="J195" t="s">
        <v>49</v>
      </c>
      <c r="K195" t="s">
        <v>33</v>
      </c>
      <c r="L195">
        <v>10625.68</v>
      </c>
      <c r="M195" s="2" t="str">
        <f t="shared" si="6"/>
        <v>Jun</v>
      </c>
      <c r="N195" s="2" t="str">
        <f t="shared" si="7"/>
        <v>medium</v>
      </c>
      <c r="O195" s="2"/>
    </row>
    <row r="196" spans="1:15">
      <c r="A196" t="s">
        <v>254</v>
      </c>
      <c r="B196" s="1">
        <v>45470</v>
      </c>
      <c r="C196" t="s">
        <v>13</v>
      </c>
      <c r="D196" t="s">
        <v>70</v>
      </c>
      <c r="E196" t="s">
        <v>53</v>
      </c>
      <c r="F196">
        <v>4</v>
      </c>
      <c r="G196">
        <v>3624.07</v>
      </c>
      <c r="H196" s="5">
        <v>0.15</v>
      </c>
      <c r="I196" t="s">
        <v>22</v>
      </c>
      <c r="J196" t="s">
        <v>49</v>
      </c>
      <c r="K196" t="s">
        <v>18</v>
      </c>
      <c r="L196">
        <v>12321.84</v>
      </c>
      <c r="M196" s="2" t="str">
        <f t="shared" si="6"/>
        <v>Jun</v>
      </c>
      <c r="N196" s="2" t="str">
        <f t="shared" si="7"/>
        <v>medium</v>
      </c>
      <c r="O196" s="2"/>
    </row>
    <row r="197" spans="1:15">
      <c r="A197" t="s">
        <v>255</v>
      </c>
      <c r="B197" s="1">
        <v>45542</v>
      </c>
      <c r="C197" t="s">
        <v>20</v>
      </c>
      <c r="D197" t="s">
        <v>78</v>
      </c>
      <c r="E197" t="s">
        <v>47</v>
      </c>
      <c r="F197">
        <v>2</v>
      </c>
      <c r="G197">
        <v>492.98</v>
      </c>
      <c r="H197" s="5">
        <v>0.1</v>
      </c>
      <c r="I197" t="s">
        <v>16</v>
      </c>
      <c r="J197" t="s">
        <v>23</v>
      </c>
      <c r="K197" t="s">
        <v>18</v>
      </c>
      <c r="L197">
        <v>887.36</v>
      </c>
      <c r="M197" s="2" t="str">
        <f t="shared" si="6"/>
        <v>Sep</v>
      </c>
      <c r="N197" s="2" t="str">
        <f t="shared" si="7"/>
        <v>low</v>
      </c>
      <c r="O197" s="2"/>
    </row>
    <row r="198" spans="1:15">
      <c r="A198" t="s">
        <v>256</v>
      </c>
      <c r="B198" s="1">
        <v>45502</v>
      </c>
      <c r="C198" t="s">
        <v>20</v>
      </c>
      <c r="D198" t="s">
        <v>59</v>
      </c>
      <c r="E198" t="s">
        <v>80</v>
      </c>
      <c r="F198">
        <v>1</v>
      </c>
      <c r="G198">
        <v>1731.08</v>
      </c>
      <c r="H198" s="5">
        <v>0.1</v>
      </c>
      <c r="I198" t="s">
        <v>16</v>
      </c>
      <c r="J198" t="s">
        <v>23</v>
      </c>
      <c r="K198" t="s">
        <v>18</v>
      </c>
      <c r="L198">
        <v>1557.97</v>
      </c>
      <c r="M198" s="2" t="str">
        <f t="shared" si="6"/>
        <v>Jul</v>
      </c>
      <c r="N198" s="2" t="str">
        <f t="shared" si="7"/>
        <v>low</v>
      </c>
      <c r="O198" s="2"/>
    </row>
    <row r="199" spans="1:15">
      <c r="A199" t="s">
        <v>257</v>
      </c>
      <c r="B199" s="1">
        <v>45620</v>
      </c>
      <c r="C199" t="s">
        <v>25</v>
      </c>
      <c r="D199" t="s">
        <v>87</v>
      </c>
      <c r="E199" t="s">
        <v>47</v>
      </c>
      <c r="F199">
        <v>3</v>
      </c>
      <c r="G199">
        <v>5629.69</v>
      </c>
      <c r="H199" s="5">
        <v>0.05</v>
      </c>
      <c r="I199" t="s">
        <v>22</v>
      </c>
      <c r="J199" t="s">
        <v>49</v>
      </c>
      <c r="K199" t="s">
        <v>33</v>
      </c>
      <c r="L199">
        <v>16044.62</v>
      </c>
      <c r="M199" s="2" t="str">
        <f t="shared" si="6"/>
        <v>Nov</v>
      </c>
      <c r="N199" s="2" t="str">
        <f t="shared" si="7"/>
        <v>medium</v>
      </c>
      <c r="O199" s="2"/>
    </row>
    <row r="200" spans="1:15">
      <c r="A200" t="s">
        <v>258</v>
      </c>
      <c r="B200" s="1">
        <v>45499</v>
      </c>
      <c r="C200" t="s">
        <v>20</v>
      </c>
      <c r="D200" t="s">
        <v>61</v>
      </c>
      <c r="E200" t="s">
        <v>44</v>
      </c>
      <c r="F200">
        <v>2</v>
      </c>
      <c r="G200">
        <v>1048.6500000000001</v>
      </c>
      <c r="H200" s="5">
        <v>0.1</v>
      </c>
      <c r="I200" t="s">
        <v>16</v>
      </c>
      <c r="J200" t="s">
        <v>23</v>
      </c>
      <c r="K200" t="s">
        <v>18</v>
      </c>
      <c r="L200">
        <v>1887.57</v>
      </c>
      <c r="M200" s="2" t="str">
        <f t="shared" si="6"/>
        <v>Jul</v>
      </c>
      <c r="N200" s="2" t="str">
        <f t="shared" si="7"/>
        <v>low</v>
      </c>
      <c r="O200" s="2"/>
    </row>
    <row r="201" spans="1:15">
      <c r="A201" t="s">
        <v>259</v>
      </c>
      <c r="B201" s="1">
        <v>45374</v>
      </c>
      <c r="C201" t="s">
        <v>13</v>
      </c>
      <c r="D201" t="s">
        <v>74</v>
      </c>
      <c r="E201" t="s">
        <v>53</v>
      </c>
      <c r="F201">
        <v>3</v>
      </c>
      <c r="G201">
        <v>3643.82</v>
      </c>
      <c r="H201" s="5">
        <v>0.15</v>
      </c>
      <c r="I201" t="s">
        <v>16</v>
      </c>
      <c r="J201" t="s">
        <v>17</v>
      </c>
      <c r="K201" t="s">
        <v>18</v>
      </c>
      <c r="L201">
        <v>9291.74</v>
      </c>
      <c r="M201" s="2" t="str">
        <f t="shared" si="6"/>
        <v>Mar</v>
      </c>
      <c r="N201" s="2" t="str">
        <f t="shared" si="7"/>
        <v>low</v>
      </c>
      <c r="O201" s="2"/>
    </row>
    <row r="202" spans="1:15">
      <c r="A202" t="s">
        <v>260</v>
      </c>
      <c r="B202" s="1">
        <v>45347</v>
      </c>
      <c r="C202" t="s">
        <v>13</v>
      </c>
      <c r="D202" t="s">
        <v>70</v>
      </c>
      <c r="E202" t="s">
        <v>27</v>
      </c>
      <c r="F202">
        <v>6</v>
      </c>
      <c r="G202">
        <v>3987.68</v>
      </c>
      <c r="H202" s="5">
        <v>0.2</v>
      </c>
      <c r="I202" t="s">
        <v>55</v>
      </c>
      <c r="J202" t="s">
        <v>29</v>
      </c>
      <c r="K202" t="s">
        <v>33</v>
      </c>
      <c r="L202">
        <v>19140.86</v>
      </c>
      <c r="M202" s="2" t="str">
        <f t="shared" si="6"/>
        <v>Feb</v>
      </c>
      <c r="N202" s="2" t="str">
        <f t="shared" si="7"/>
        <v>medium</v>
      </c>
      <c r="O202" s="2"/>
    </row>
    <row r="203" spans="1:15">
      <c r="A203" t="s">
        <v>261</v>
      </c>
      <c r="B203" s="1">
        <v>45306</v>
      </c>
      <c r="C203" t="s">
        <v>20</v>
      </c>
      <c r="D203" t="s">
        <v>21</v>
      </c>
      <c r="E203" t="s">
        <v>47</v>
      </c>
      <c r="F203">
        <v>1</v>
      </c>
      <c r="G203">
        <v>6229.34</v>
      </c>
      <c r="H203" s="5">
        <v>0.05</v>
      </c>
      <c r="I203" t="s">
        <v>16</v>
      </c>
      <c r="J203" t="s">
        <v>23</v>
      </c>
      <c r="K203" t="s">
        <v>18</v>
      </c>
      <c r="L203">
        <v>5917.87</v>
      </c>
      <c r="M203" s="2" t="str">
        <f t="shared" si="6"/>
        <v>Jan</v>
      </c>
      <c r="N203" s="2" t="str">
        <f t="shared" si="7"/>
        <v>low</v>
      </c>
      <c r="O203" s="2"/>
    </row>
    <row r="204" spans="1:15">
      <c r="A204" t="s">
        <v>262</v>
      </c>
      <c r="B204" s="1">
        <v>45486</v>
      </c>
      <c r="C204" t="s">
        <v>13</v>
      </c>
      <c r="D204" t="s">
        <v>70</v>
      </c>
      <c r="E204" t="s">
        <v>80</v>
      </c>
      <c r="F204">
        <v>2</v>
      </c>
      <c r="G204">
        <v>5231.34</v>
      </c>
      <c r="H204" s="5">
        <v>0.15</v>
      </c>
      <c r="I204" t="s">
        <v>16</v>
      </c>
      <c r="J204" t="s">
        <v>29</v>
      </c>
      <c r="K204" t="s">
        <v>33</v>
      </c>
      <c r="L204">
        <v>8893.2800000000007</v>
      </c>
      <c r="M204" s="2" t="str">
        <f t="shared" si="6"/>
        <v>Jul</v>
      </c>
      <c r="N204" s="2" t="str">
        <f t="shared" si="7"/>
        <v>low</v>
      </c>
      <c r="O204" s="2"/>
    </row>
    <row r="205" spans="1:15">
      <c r="A205" t="s">
        <v>263</v>
      </c>
      <c r="B205" s="1">
        <v>45582</v>
      </c>
      <c r="C205" t="s">
        <v>35</v>
      </c>
      <c r="D205" t="s">
        <v>68</v>
      </c>
      <c r="E205" t="s">
        <v>53</v>
      </c>
      <c r="F205">
        <v>6</v>
      </c>
      <c r="G205">
        <v>7380.46</v>
      </c>
      <c r="H205" s="5">
        <v>0.2</v>
      </c>
      <c r="I205" t="s">
        <v>16</v>
      </c>
      <c r="J205" t="s">
        <v>29</v>
      </c>
      <c r="K205" t="s">
        <v>18</v>
      </c>
      <c r="L205">
        <v>35426.21</v>
      </c>
      <c r="M205" s="2" t="str">
        <f t="shared" si="6"/>
        <v>Oct</v>
      </c>
      <c r="N205" s="2" t="str">
        <f t="shared" si="7"/>
        <v>high</v>
      </c>
      <c r="O205" s="2"/>
    </row>
    <row r="206" spans="1:15">
      <c r="A206" t="s">
        <v>264</v>
      </c>
      <c r="B206" s="1">
        <v>45362</v>
      </c>
      <c r="C206" t="s">
        <v>20</v>
      </c>
      <c r="D206" t="s">
        <v>61</v>
      </c>
      <c r="E206" t="s">
        <v>47</v>
      </c>
      <c r="F206">
        <v>4</v>
      </c>
      <c r="G206">
        <v>5148.53</v>
      </c>
      <c r="H206" s="5">
        <v>0.2</v>
      </c>
      <c r="I206" t="s">
        <v>16</v>
      </c>
      <c r="J206" t="s">
        <v>29</v>
      </c>
      <c r="K206" t="s">
        <v>18</v>
      </c>
      <c r="L206">
        <v>16475.3</v>
      </c>
      <c r="M206" s="2" t="str">
        <f t="shared" si="6"/>
        <v>Mar</v>
      </c>
      <c r="N206" s="2" t="str">
        <f t="shared" si="7"/>
        <v>medium</v>
      </c>
      <c r="O206" s="2"/>
    </row>
    <row r="207" spans="1:15">
      <c r="A207" t="s">
        <v>265</v>
      </c>
      <c r="B207" s="1">
        <v>45365</v>
      </c>
      <c r="C207" t="s">
        <v>35</v>
      </c>
      <c r="D207" t="s">
        <v>36</v>
      </c>
      <c r="E207" t="s">
        <v>15</v>
      </c>
      <c r="F207">
        <v>3</v>
      </c>
      <c r="G207">
        <v>715.15</v>
      </c>
      <c r="H207" s="5">
        <v>0</v>
      </c>
      <c r="I207" t="s">
        <v>28</v>
      </c>
      <c r="J207" t="s">
        <v>23</v>
      </c>
      <c r="K207" t="s">
        <v>33</v>
      </c>
      <c r="L207">
        <f>(F207*G207)-(F207*G207)*H207</f>
        <v>2145.4499999999998</v>
      </c>
      <c r="M207" s="2" t="str">
        <f t="shared" si="6"/>
        <v>Mar</v>
      </c>
      <c r="N207" s="2" t="str">
        <f t="shared" si="7"/>
        <v>low</v>
      </c>
      <c r="O207" s="2"/>
    </row>
    <row r="208" spans="1:15">
      <c r="A208" t="s">
        <v>266</v>
      </c>
      <c r="B208" s="1">
        <v>45518</v>
      </c>
      <c r="C208" t="s">
        <v>38</v>
      </c>
      <c r="D208" t="s">
        <v>100</v>
      </c>
      <c r="E208" t="s">
        <v>32</v>
      </c>
      <c r="F208">
        <v>5</v>
      </c>
      <c r="G208">
        <v>5450.8</v>
      </c>
      <c r="H208" s="5">
        <v>0.1</v>
      </c>
      <c r="I208" t="s">
        <v>55</v>
      </c>
      <c r="J208" t="s">
        <v>23</v>
      </c>
      <c r="K208" t="s">
        <v>33</v>
      </c>
      <c r="L208">
        <v>24528.6</v>
      </c>
      <c r="M208" s="2" t="str">
        <f t="shared" si="6"/>
        <v>Aug</v>
      </c>
      <c r="N208" s="2" t="str">
        <f t="shared" si="7"/>
        <v>high</v>
      </c>
      <c r="O208" s="2"/>
    </row>
    <row r="209" spans="1:15">
      <c r="A209" t="s">
        <v>267</v>
      </c>
      <c r="B209" s="1">
        <v>45322</v>
      </c>
      <c r="C209" t="s">
        <v>25</v>
      </c>
      <c r="D209" t="s">
        <v>94</v>
      </c>
      <c r="E209" t="s">
        <v>53</v>
      </c>
      <c r="F209">
        <v>6</v>
      </c>
      <c r="G209">
        <v>5460.1</v>
      </c>
      <c r="H209" s="5">
        <v>0.1</v>
      </c>
      <c r="I209" t="s">
        <v>28</v>
      </c>
      <c r="J209" t="s">
        <v>29</v>
      </c>
      <c r="K209" t="s">
        <v>33</v>
      </c>
      <c r="L209">
        <v>29484.54</v>
      </c>
      <c r="M209" s="2" t="str">
        <f t="shared" si="6"/>
        <v>Jan</v>
      </c>
      <c r="N209" s="2" t="str">
        <f t="shared" si="7"/>
        <v>high</v>
      </c>
      <c r="O209" s="2"/>
    </row>
    <row r="210" spans="1:15">
      <c r="A210" t="s">
        <v>268</v>
      </c>
      <c r="B210" s="1">
        <v>45405</v>
      </c>
      <c r="C210" t="s">
        <v>25</v>
      </c>
      <c r="D210" t="s">
        <v>31</v>
      </c>
      <c r="E210" t="s">
        <v>1160</v>
      </c>
      <c r="F210">
        <v>6</v>
      </c>
      <c r="G210">
        <v>5956.77</v>
      </c>
      <c r="H210" s="5">
        <v>0</v>
      </c>
      <c r="I210" t="s">
        <v>16</v>
      </c>
      <c r="J210" t="s">
        <v>49</v>
      </c>
      <c r="K210" t="s">
        <v>33</v>
      </c>
      <c r="L210">
        <v>35740.620000000003</v>
      </c>
      <c r="M210" s="2" t="str">
        <f t="shared" si="6"/>
        <v>Apr</v>
      </c>
      <c r="N210" s="2" t="str">
        <f t="shared" si="7"/>
        <v>high</v>
      </c>
      <c r="O210" s="2"/>
    </row>
    <row r="211" spans="1:15">
      <c r="A211" t="s">
        <v>269</v>
      </c>
      <c r="B211" s="1">
        <v>45425</v>
      </c>
      <c r="C211" t="s">
        <v>25</v>
      </c>
      <c r="D211" t="s">
        <v>87</v>
      </c>
      <c r="E211" t="s">
        <v>15</v>
      </c>
      <c r="F211">
        <v>1</v>
      </c>
      <c r="G211">
        <v>1933.87</v>
      </c>
      <c r="H211" s="5">
        <v>0.1</v>
      </c>
      <c r="I211" t="s">
        <v>28</v>
      </c>
      <c r="J211" t="s">
        <v>23</v>
      </c>
      <c r="K211" t="s">
        <v>33</v>
      </c>
      <c r="L211">
        <v>1740.48</v>
      </c>
      <c r="M211" s="2" t="str">
        <f t="shared" si="6"/>
        <v>May</v>
      </c>
      <c r="N211" s="2" t="str">
        <f t="shared" si="7"/>
        <v>low</v>
      </c>
      <c r="O211" s="2"/>
    </row>
    <row r="212" spans="1:15">
      <c r="A212" t="s">
        <v>270</v>
      </c>
      <c r="B212" s="1">
        <v>45407</v>
      </c>
      <c r="C212" t="s">
        <v>38</v>
      </c>
      <c r="D212" t="s">
        <v>164</v>
      </c>
      <c r="E212" t="s">
        <v>44</v>
      </c>
      <c r="F212">
        <v>5</v>
      </c>
      <c r="G212">
        <v>4645.75</v>
      </c>
      <c r="H212" s="5">
        <v>0</v>
      </c>
      <c r="I212" t="s">
        <v>22</v>
      </c>
      <c r="J212" t="s">
        <v>40</v>
      </c>
      <c r="K212" t="s">
        <v>33</v>
      </c>
      <c r="L212">
        <v>23228.75</v>
      </c>
      <c r="M212" s="2" t="str">
        <f t="shared" si="6"/>
        <v>Apr</v>
      </c>
      <c r="N212" s="2" t="str">
        <f t="shared" si="7"/>
        <v>high</v>
      </c>
      <c r="O212" s="2"/>
    </row>
    <row r="213" spans="1:15">
      <c r="A213" t="s">
        <v>271</v>
      </c>
      <c r="B213" s="1">
        <v>45612</v>
      </c>
      <c r="C213" t="s">
        <v>20</v>
      </c>
      <c r="D213" t="s">
        <v>57</v>
      </c>
      <c r="E213" t="s">
        <v>53</v>
      </c>
      <c r="F213">
        <v>6</v>
      </c>
      <c r="G213">
        <v>4193.9799999999996</v>
      </c>
      <c r="H213" s="5">
        <v>0.25</v>
      </c>
      <c r="I213" t="s">
        <v>22</v>
      </c>
      <c r="J213" t="s">
        <v>40</v>
      </c>
      <c r="K213" t="s">
        <v>33</v>
      </c>
      <c r="L213">
        <v>18872.91</v>
      </c>
      <c r="M213" s="2" t="str">
        <f t="shared" si="6"/>
        <v>Nov</v>
      </c>
      <c r="N213" s="2" t="str">
        <f t="shared" si="7"/>
        <v>medium</v>
      </c>
      <c r="O213" s="2"/>
    </row>
    <row r="214" spans="1:15">
      <c r="A214" t="s">
        <v>272</v>
      </c>
      <c r="B214" s="1">
        <v>45499</v>
      </c>
      <c r="C214" t="s">
        <v>13</v>
      </c>
      <c r="D214" t="s">
        <v>70</v>
      </c>
      <c r="E214" t="s">
        <v>32</v>
      </c>
      <c r="F214">
        <v>2</v>
      </c>
      <c r="G214">
        <v>520.69000000000005</v>
      </c>
      <c r="H214" s="5">
        <v>0</v>
      </c>
      <c r="I214" t="s">
        <v>16</v>
      </c>
      <c r="J214" t="s">
        <v>23</v>
      </c>
      <c r="K214" t="s">
        <v>33</v>
      </c>
      <c r="L214">
        <v>1041.3800000000001</v>
      </c>
      <c r="M214" s="2" t="str">
        <f t="shared" si="6"/>
        <v>Jul</v>
      </c>
      <c r="N214" s="2" t="str">
        <f t="shared" si="7"/>
        <v>low</v>
      </c>
      <c r="O214" s="2"/>
    </row>
    <row r="215" spans="1:15">
      <c r="A215" t="s">
        <v>273</v>
      </c>
      <c r="B215" s="1">
        <v>45580</v>
      </c>
      <c r="C215" t="s">
        <v>35</v>
      </c>
      <c r="D215" t="s">
        <v>36</v>
      </c>
      <c r="E215" t="s">
        <v>1160</v>
      </c>
      <c r="F215">
        <v>1</v>
      </c>
      <c r="G215">
        <v>7352.41</v>
      </c>
      <c r="H215" s="5">
        <v>0.15</v>
      </c>
      <c r="I215" t="s">
        <v>16</v>
      </c>
      <c r="J215" t="s">
        <v>40</v>
      </c>
      <c r="K215" t="s">
        <v>33</v>
      </c>
      <c r="L215">
        <v>6249.55</v>
      </c>
      <c r="M215" s="2" t="str">
        <f t="shared" si="6"/>
        <v>Oct</v>
      </c>
      <c r="N215" s="2" t="str">
        <f t="shared" si="7"/>
        <v>low</v>
      </c>
      <c r="O215" s="2"/>
    </row>
    <row r="216" spans="1:15">
      <c r="A216" t="s">
        <v>274</v>
      </c>
      <c r="B216" s="1">
        <v>45554</v>
      </c>
      <c r="C216" t="s">
        <v>35</v>
      </c>
      <c r="D216" t="s">
        <v>63</v>
      </c>
      <c r="E216" t="s">
        <v>80</v>
      </c>
      <c r="F216">
        <v>6</v>
      </c>
      <c r="G216">
        <v>4268.96</v>
      </c>
      <c r="H216" s="5">
        <v>0.15</v>
      </c>
      <c r="I216" t="s">
        <v>22</v>
      </c>
      <c r="J216" t="s">
        <v>29</v>
      </c>
      <c r="K216" t="s">
        <v>18</v>
      </c>
      <c r="L216">
        <v>21771.7</v>
      </c>
      <c r="M216" s="2" t="str">
        <f t="shared" si="6"/>
        <v>Sep</v>
      </c>
      <c r="N216" s="2" t="str">
        <f t="shared" si="7"/>
        <v>high</v>
      </c>
      <c r="O216" s="2"/>
    </row>
    <row r="217" spans="1:15">
      <c r="A217" t="s">
        <v>275</v>
      </c>
      <c r="B217" s="1">
        <v>45473</v>
      </c>
      <c r="C217" t="s">
        <v>35</v>
      </c>
      <c r="D217" t="s">
        <v>63</v>
      </c>
      <c r="E217" t="s">
        <v>27</v>
      </c>
      <c r="F217">
        <v>2</v>
      </c>
      <c r="G217">
        <v>5597.33</v>
      </c>
      <c r="H217" s="5">
        <v>0</v>
      </c>
      <c r="I217" t="s">
        <v>28</v>
      </c>
      <c r="J217" t="s">
        <v>29</v>
      </c>
      <c r="K217" t="s">
        <v>33</v>
      </c>
      <c r="L217">
        <v>11194.66</v>
      </c>
      <c r="M217" s="2" t="str">
        <f t="shared" si="6"/>
        <v>Jun</v>
      </c>
      <c r="N217" s="2" t="str">
        <f t="shared" si="7"/>
        <v>medium</v>
      </c>
      <c r="O217" s="2"/>
    </row>
    <row r="218" spans="1:15">
      <c r="A218" t="s">
        <v>276</v>
      </c>
      <c r="B218" s="1">
        <v>45643</v>
      </c>
      <c r="C218" t="s">
        <v>20</v>
      </c>
      <c r="D218" t="s">
        <v>57</v>
      </c>
      <c r="E218" t="s">
        <v>27</v>
      </c>
      <c r="F218">
        <v>6</v>
      </c>
      <c r="G218">
        <v>3139.44</v>
      </c>
      <c r="H218" s="5">
        <v>0.05</v>
      </c>
      <c r="I218" t="s">
        <v>28</v>
      </c>
      <c r="J218" t="s">
        <v>17</v>
      </c>
      <c r="K218" t="s">
        <v>18</v>
      </c>
      <c r="L218">
        <v>17894.810000000001</v>
      </c>
      <c r="M218" s="2" t="str">
        <f t="shared" si="6"/>
        <v>Dec</v>
      </c>
      <c r="N218" s="2" t="str">
        <f t="shared" si="7"/>
        <v>medium</v>
      </c>
      <c r="O218" s="2"/>
    </row>
    <row r="219" spans="1:15">
      <c r="A219" t="s">
        <v>277</v>
      </c>
      <c r="B219" s="1">
        <v>45541</v>
      </c>
      <c r="C219" t="s">
        <v>35</v>
      </c>
      <c r="D219" t="s">
        <v>97</v>
      </c>
      <c r="E219" t="s">
        <v>47</v>
      </c>
      <c r="F219">
        <v>5</v>
      </c>
      <c r="G219">
        <v>3949.16</v>
      </c>
      <c r="H219" s="5">
        <v>0</v>
      </c>
      <c r="I219" t="s">
        <v>16</v>
      </c>
      <c r="J219" t="s">
        <v>17</v>
      </c>
      <c r="K219" t="s">
        <v>33</v>
      </c>
      <c r="L219">
        <v>19745.8</v>
      </c>
      <c r="M219" s="2" t="str">
        <f t="shared" si="6"/>
        <v>Sep</v>
      </c>
      <c r="N219" s="2" t="str">
        <f t="shared" si="7"/>
        <v>medium</v>
      </c>
      <c r="O219" s="2"/>
    </row>
    <row r="220" spans="1:15">
      <c r="A220" t="s">
        <v>278</v>
      </c>
      <c r="B220" s="1">
        <v>45604</v>
      </c>
      <c r="C220" t="s">
        <v>38</v>
      </c>
      <c r="D220" t="s">
        <v>39</v>
      </c>
      <c r="E220" t="s">
        <v>1160</v>
      </c>
      <c r="F220">
        <v>5</v>
      </c>
      <c r="G220">
        <v>745.69</v>
      </c>
      <c r="H220" s="5">
        <v>0.15</v>
      </c>
      <c r="I220" t="s">
        <v>28</v>
      </c>
      <c r="J220" t="s">
        <v>23</v>
      </c>
      <c r="K220" t="s">
        <v>33</v>
      </c>
      <c r="L220">
        <v>3169.18</v>
      </c>
      <c r="M220" s="2" t="str">
        <f t="shared" si="6"/>
        <v>Nov</v>
      </c>
      <c r="N220" s="2" t="str">
        <f t="shared" si="7"/>
        <v>low</v>
      </c>
      <c r="O220" s="2"/>
    </row>
    <row r="221" spans="1:15">
      <c r="A221" t="s">
        <v>279</v>
      </c>
      <c r="B221" s="1">
        <v>45490</v>
      </c>
      <c r="C221" t="s">
        <v>38</v>
      </c>
      <c r="D221" t="s">
        <v>100</v>
      </c>
      <c r="E221" t="s">
        <v>44</v>
      </c>
      <c r="F221">
        <v>3</v>
      </c>
      <c r="G221">
        <v>2617.7199999999998</v>
      </c>
      <c r="H221" s="5">
        <v>0.15</v>
      </c>
      <c r="I221" t="s">
        <v>28</v>
      </c>
      <c r="J221" t="s">
        <v>49</v>
      </c>
      <c r="K221" t="s">
        <v>18</v>
      </c>
      <c r="L221">
        <v>6675.19</v>
      </c>
      <c r="M221" s="2" t="str">
        <f t="shared" si="6"/>
        <v>Jul</v>
      </c>
      <c r="N221" s="2" t="str">
        <f t="shared" si="7"/>
        <v>low</v>
      </c>
      <c r="O221" s="2"/>
    </row>
    <row r="222" spans="1:15">
      <c r="A222" t="s">
        <v>280</v>
      </c>
      <c r="B222" s="1">
        <v>45488</v>
      </c>
      <c r="C222" t="s">
        <v>20</v>
      </c>
      <c r="D222" t="s">
        <v>61</v>
      </c>
      <c r="E222" t="s">
        <v>27</v>
      </c>
      <c r="F222">
        <v>3</v>
      </c>
      <c r="G222">
        <v>648.34</v>
      </c>
      <c r="H222" s="5">
        <v>0.1</v>
      </c>
      <c r="I222" t="s">
        <v>16</v>
      </c>
      <c r="J222" t="s">
        <v>40</v>
      </c>
      <c r="K222" t="s">
        <v>18</v>
      </c>
      <c r="L222">
        <v>1750.52</v>
      </c>
      <c r="M222" s="2" t="str">
        <f t="shared" si="6"/>
        <v>Jul</v>
      </c>
      <c r="N222" s="2" t="str">
        <f t="shared" si="7"/>
        <v>low</v>
      </c>
      <c r="O222" s="2"/>
    </row>
    <row r="223" spans="1:15">
      <c r="A223" t="s">
        <v>281</v>
      </c>
      <c r="B223" s="1">
        <v>45477</v>
      </c>
      <c r="C223" t="s">
        <v>20</v>
      </c>
      <c r="D223" t="s">
        <v>78</v>
      </c>
      <c r="E223" t="s">
        <v>53</v>
      </c>
      <c r="F223">
        <v>3</v>
      </c>
      <c r="G223">
        <v>6375.38</v>
      </c>
      <c r="H223" s="5">
        <v>0.1</v>
      </c>
      <c r="I223" t="s">
        <v>16</v>
      </c>
      <c r="J223" t="s">
        <v>49</v>
      </c>
      <c r="K223" t="s">
        <v>33</v>
      </c>
      <c r="L223">
        <v>17213.53</v>
      </c>
      <c r="M223" s="2" t="str">
        <f t="shared" si="6"/>
        <v>Jul</v>
      </c>
      <c r="N223" s="2" t="str">
        <f t="shared" si="7"/>
        <v>medium</v>
      </c>
      <c r="O223" s="2"/>
    </row>
    <row r="224" spans="1:15">
      <c r="A224" t="s">
        <v>282</v>
      </c>
      <c r="B224" s="1">
        <v>45463</v>
      </c>
      <c r="C224" t="s">
        <v>13</v>
      </c>
      <c r="D224" t="s">
        <v>70</v>
      </c>
      <c r="E224" t="s">
        <v>15</v>
      </c>
      <c r="F224">
        <v>1</v>
      </c>
      <c r="G224">
        <v>5678.17</v>
      </c>
      <c r="H224" s="5">
        <v>0.15</v>
      </c>
      <c r="I224" t="s">
        <v>55</v>
      </c>
      <c r="J224" t="s">
        <v>23</v>
      </c>
      <c r="K224" t="s">
        <v>33</v>
      </c>
      <c r="L224">
        <v>4826.4399999999996</v>
      </c>
      <c r="M224" s="2" t="str">
        <f t="shared" si="6"/>
        <v>Jun</v>
      </c>
      <c r="N224" s="2" t="str">
        <f t="shared" si="7"/>
        <v>low</v>
      </c>
      <c r="O224" s="2"/>
    </row>
    <row r="225" spans="1:15">
      <c r="A225" t="s">
        <v>283</v>
      </c>
      <c r="B225" s="1">
        <v>45499</v>
      </c>
      <c r="C225" t="s">
        <v>20</v>
      </c>
      <c r="D225" t="s">
        <v>21</v>
      </c>
      <c r="E225" t="s">
        <v>44</v>
      </c>
      <c r="F225">
        <v>4</v>
      </c>
      <c r="G225">
        <v>3259.18</v>
      </c>
      <c r="H225" s="5">
        <v>0.1</v>
      </c>
      <c r="I225" t="s">
        <v>16</v>
      </c>
      <c r="J225" t="s">
        <v>49</v>
      </c>
      <c r="K225" t="s">
        <v>33</v>
      </c>
      <c r="L225">
        <v>11733.05</v>
      </c>
      <c r="M225" s="2" t="str">
        <f t="shared" si="6"/>
        <v>Jul</v>
      </c>
      <c r="N225" s="2" t="str">
        <f t="shared" si="7"/>
        <v>medium</v>
      </c>
      <c r="O225" s="2"/>
    </row>
    <row r="226" spans="1:15">
      <c r="A226" t="s">
        <v>284</v>
      </c>
      <c r="B226" s="1">
        <v>45591</v>
      </c>
      <c r="C226" t="s">
        <v>35</v>
      </c>
      <c r="D226" t="s">
        <v>63</v>
      </c>
      <c r="E226" t="s">
        <v>53</v>
      </c>
      <c r="F226">
        <v>2</v>
      </c>
      <c r="G226">
        <v>2538.2600000000002</v>
      </c>
      <c r="H226" s="5">
        <v>0.15</v>
      </c>
      <c r="I226" t="s">
        <v>55</v>
      </c>
      <c r="J226" t="s">
        <v>40</v>
      </c>
      <c r="K226" t="s">
        <v>33</v>
      </c>
      <c r="L226">
        <v>4315.04</v>
      </c>
      <c r="M226" s="2" t="str">
        <f t="shared" si="6"/>
        <v>Oct</v>
      </c>
      <c r="N226" s="2" t="str">
        <f t="shared" si="7"/>
        <v>low</v>
      </c>
      <c r="O226" s="2"/>
    </row>
    <row r="227" spans="1:15">
      <c r="A227" t="s">
        <v>285</v>
      </c>
      <c r="B227" s="1">
        <v>45423</v>
      </c>
      <c r="C227" t="s">
        <v>13</v>
      </c>
      <c r="D227" t="s">
        <v>14</v>
      </c>
      <c r="E227" t="s">
        <v>27</v>
      </c>
      <c r="F227">
        <v>5</v>
      </c>
      <c r="G227">
        <v>331.12</v>
      </c>
      <c r="H227" s="5">
        <v>0.05</v>
      </c>
      <c r="I227" t="s">
        <v>22</v>
      </c>
      <c r="J227" t="s">
        <v>23</v>
      </c>
      <c r="K227" t="s">
        <v>33</v>
      </c>
      <c r="L227">
        <v>1572.82</v>
      </c>
      <c r="M227" s="2" t="str">
        <f t="shared" si="6"/>
        <v>May</v>
      </c>
      <c r="N227" s="2" t="str">
        <f t="shared" si="7"/>
        <v>low</v>
      </c>
      <c r="O227" s="2"/>
    </row>
    <row r="228" spans="1:15">
      <c r="A228" t="s">
        <v>286</v>
      </c>
      <c r="B228" s="1">
        <v>45415</v>
      </c>
      <c r="C228" t="s">
        <v>25</v>
      </c>
      <c r="D228" t="s">
        <v>31</v>
      </c>
      <c r="E228" t="s">
        <v>1160</v>
      </c>
      <c r="F228">
        <v>6</v>
      </c>
      <c r="G228">
        <v>595.88</v>
      </c>
      <c r="H228" s="5">
        <v>0.05</v>
      </c>
      <c r="I228" t="s">
        <v>28</v>
      </c>
      <c r="J228" t="s">
        <v>23</v>
      </c>
      <c r="K228" t="s">
        <v>18</v>
      </c>
      <c r="L228">
        <v>3396.52</v>
      </c>
      <c r="M228" s="2" t="str">
        <f t="shared" si="6"/>
        <v>May</v>
      </c>
      <c r="N228" s="2" t="str">
        <f t="shared" si="7"/>
        <v>low</v>
      </c>
      <c r="O228" s="2"/>
    </row>
    <row r="229" spans="1:15">
      <c r="A229" t="s">
        <v>287</v>
      </c>
      <c r="B229" s="1">
        <v>45619</v>
      </c>
      <c r="C229" t="s">
        <v>20</v>
      </c>
      <c r="D229" t="s">
        <v>59</v>
      </c>
      <c r="E229" t="s">
        <v>32</v>
      </c>
      <c r="F229">
        <v>3</v>
      </c>
      <c r="G229">
        <v>7394.67</v>
      </c>
      <c r="H229" s="5">
        <v>0.1</v>
      </c>
      <c r="I229" t="s">
        <v>16</v>
      </c>
      <c r="J229" t="s">
        <v>29</v>
      </c>
      <c r="K229" t="s">
        <v>33</v>
      </c>
      <c r="L229">
        <v>19965.61</v>
      </c>
      <c r="M229" s="2" t="str">
        <f t="shared" si="6"/>
        <v>Nov</v>
      </c>
      <c r="N229" s="2" t="str">
        <f t="shared" si="7"/>
        <v>medium</v>
      </c>
      <c r="O229" s="2"/>
    </row>
    <row r="230" spans="1:15">
      <c r="A230" t="s">
        <v>288</v>
      </c>
      <c r="B230" s="1">
        <v>45336</v>
      </c>
      <c r="C230" t="s">
        <v>35</v>
      </c>
      <c r="D230" t="s">
        <v>65</v>
      </c>
      <c r="E230" t="s">
        <v>32</v>
      </c>
      <c r="F230">
        <v>6</v>
      </c>
      <c r="G230">
        <v>4960.42</v>
      </c>
      <c r="H230" s="5">
        <v>0.25</v>
      </c>
      <c r="I230" t="s">
        <v>28</v>
      </c>
      <c r="J230" t="s">
        <v>29</v>
      </c>
      <c r="K230" t="s">
        <v>33</v>
      </c>
      <c r="L230">
        <f>(F230*G230)-(F230*G230)*H230</f>
        <v>22321.89</v>
      </c>
      <c r="M230" s="2" t="str">
        <f t="shared" si="6"/>
        <v>Feb</v>
      </c>
      <c r="N230" s="2" t="str">
        <f t="shared" si="7"/>
        <v>high</v>
      </c>
      <c r="O230" s="2"/>
    </row>
    <row r="231" spans="1:15">
      <c r="A231" t="s">
        <v>289</v>
      </c>
      <c r="B231" s="1">
        <v>45372</v>
      </c>
      <c r="C231" t="s">
        <v>35</v>
      </c>
      <c r="D231" t="s">
        <v>65</v>
      </c>
      <c r="E231" t="s">
        <v>80</v>
      </c>
      <c r="F231">
        <v>1</v>
      </c>
      <c r="G231">
        <v>296.02</v>
      </c>
      <c r="H231" s="5">
        <v>0.1</v>
      </c>
      <c r="I231" t="s">
        <v>16</v>
      </c>
      <c r="J231" t="s">
        <v>29</v>
      </c>
      <c r="K231" t="s">
        <v>33</v>
      </c>
      <c r="L231">
        <v>266.42</v>
      </c>
      <c r="M231" s="2" t="str">
        <f t="shared" si="6"/>
        <v>Mar</v>
      </c>
      <c r="N231" s="2" t="str">
        <f t="shared" si="7"/>
        <v>low</v>
      </c>
      <c r="O231" s="2"/>
    </row>
    <row r="232" spans="1:15">
      <c r="A232" t="s">
        <v>290</v>
      </c>
      <c r="B232" s="1">
        <v>45409</v>
      </c>
      <c r="C232" t="s">
        <v>25</v>
      </c>
      <c r="D232" t="s">
        <v>94</v>
      </c>
      <c r="E232" t="s">
        <v>80</v>
      </c>
      <c r="F232">
        <v>6</v>
      </c>
      <c r="G232">
        <v>5006.6099999999997</v>
      </c>
      <c r="H232" s="5">
        <v>0.25</v>
      </c>
      <c r="I232" t="s">
        <v>16</v>
      </c>
      <c r="J232" t="s">
        <v>17</v>
      </c>
      <c r="K232" t="s">
        <v>33</v>
      </c>
      <c r="L232">
        <v>22529.74</v>
      </c>
      <c r="M232" s="2" t="str">
        <f t="shared" si="6"/>
        <v>Apr</v>
      </c>
      <c r="N232" s="2" t="str">
        <f t="shared" si="7"/>
        <v>high</v>
      </c>
      <c r="O232" s="2"/>
    </row>
    <row r="233" spans="1:15">
      <c r="A233" t="s">
        <v>291</v>
      </c>
      <c r="B233" s="1">
        <v>45359</v>
      </c>
      <c r="C233" t="s">
        <v>13</v>
      </c>
      <c r="D233" t="s">
        <v>70</v>
      </c>
      <c r="E233" t="s">
        <v>27</v>
      </c>
      <c r="F233">
        <v>3</v>
      </c>
      <c r="G233">
        <v>220.97</v>
      </c>
      <c r="H233" s="5">
        <v>0.25</v>
      </c>
      <c r="I233" t="s">
        <v>16</v>
      </c>
      <c r="J233" t="s">
        <v>23</v>
      </c>
      <c r="K233" t="s">
        <v>33</v>
      </c>
      <c r="L233">
        <v>497.18</v>
      </c>
      <c r="M233" s="2" t="str">
        <f t="shared" si="6"/>
        <v>Mar</v>
      </c>
      <c r="N233" s="2" t="str">
        <f t="shared" si="7"/>
        <v>low</v>
      </c>
      <c r="O233" s="2"/>
    </row>
    <row r="234" spans="1:15">
      <c r="A234" t="s">
        <v>292</v>
      </c>
      <c r="B234" s="1">
        <v>45354</v>
      </c>
      <c r="C234" t="s">
        <v>35</v>
      </c>
      <c r="D234" t="s">
        <v>68</v>
      </c>
      <c r="E234" t="s">
        <v>47</v>
      </c>
      <c r="F234">
        <v>1</v>
      </c>
      <c r="G234">
        <v>4414.68</v>
      </c>
      <c r="H234" s="5">
        <v>0.1</v>
      </c>
      <c r="I234" t="s">
        <v>28</v>
      </c>
      <c r="J234" t="s">
        <v>23</v>
      </c>
      <c r="K234" t="s">
        <v>33</v>
      </c>
      <c r="L234">
        <v>3973.21</v>
      </c>
      <c r="M234" s="2" t="str">
        <f t="shared" si="6"/>
        <v>Mar</v>
      </c>
      <c r="N234" s="2" t="str">
        <f t="shared" si="7"/>
        <v>low</v>
      </c>
      <c r="O234" s="2"/>
    </row>
    <row r="235" spans="1:15">
      <c r="A235" t="s">
        <v>293</v>
      </c>
      <c r="B235" s="1">
        <v>45655</v>
      </c>
      <c r="C235" t="s">
        <v>25</v>
      </c>
      <c r="D235" t="s">
        <v>31</v>
      </c>
      <c r="E235" t="s">
        <v>80</v>
      </c>
      <c r="F235">
        <v>2</v>
      </c>
      <c r="G235">
        <v>3616.22</v>
      </c>
      <c r="H235" s="5">
        <v>0.25</v>
      </c>
      <c r="I235" t="s">
        <v>16</v>
      </c>
      <c r="J235" t="s">
        <v>29</v>
      </c>
      <c r="K235" t="s">
        <v>18</v>
      </c>
      <c r="L235">
        <v>5424.33</v>
      </c>
      <c r="M235" s="2" t="str">
        <f t="shared" si="6"/>
        <v>Dec</v>
      </c>
      <c r="N235" s="2" t="str">
        <f t="shared" si="7"/>
        <v>low</v>
      </c>
      <c r="O235" s="2"/>
    </row>
    <row r="236" spans="1:15">
      <c r="A236" t="s">
        <v>294</v>
      </c>
      <c r="B236" s="1">
        <v>45622</v>
      </c>
      <c r="C236" t="s">
        <v>35</v>
      </c>
      <c r="D236" t="s">
        <v>68</v>
      </c>
      <c r="E236" t="s">
        <v>53</v>
      </c>
      <c r="F236">
        <v>4</v>
      </c>
      <c r="G236">
        <v>5442.57</v>
      </c>
      <c r="H236" s="5">
        <v>0.15</v>
      </c>
      <c r="I236" t="s">
        <v>16</v>
      </c>
      <c r="J236" t="s">
        <v>23</v>
      </c>
      <c r="K236" t="s">
        <v>18</v>
      </c>
      <c r="L236">
        <v>18504.740000000002</v>
      </c>
      <c r="M236" s="2" t="str">
        <f t="shared" si="6"/>
        <v>Nov</v>
      </c>
      <c r="N236" s="2" t="str">
        <f t="shared" si="7"/>
        <v>medium</v>
      </c>
      <c r="O236" s="2"/>
    </row>
    <row r="237" spans="1:15">
      <c r="A237" t="s">
        <v>295</v>
      </c>
      <c r="B237" s="1">
        <v>45655</v>
      </c>
      <c r="C237" t="s">
        <v>13</v>
      </c>
      <c r="D237" t="s">
        <v>76</v>
      </c>
      <c r="E237" t="s">
        <v>27</v>
      </c>
      <c r="F237">
        <v>4</v>
      </c>
      <c r="G237">
        <v>2048.36</v>
      </c>
      <c r="H237" s="5">
        <v>0.15</v>
      </c>
      <c r="I237" t="s">
        <v>16</v>
      </c>
      <c r="J237" t="s">
        <v>17</v>
      </c>
      <c r="K237" t="s">
        <v>33</v>
      </c>
      <c r="L237">
        <v>6964.42</v>
      </c>
      <c r="M237" s="2" t="str">
        <f t="shared" si="6"/>
        <v>Dec</v>
      </c>
      <c r="N237" s="2" t="str">
        <f t="shared" si="7"/>
        <v>low</v>
      </c>
      <c r="O237" s="2"/>
    </row>
    <row r="238" spans="1:15">
      <c r="A238" t="s">
        <v>296</v>
      </c>
      <c r="B238" s="1">
        <v>45428</v>
      </c>
      <c r="C238" t="s">
        <v>25</v>
      </c>
      <c r="D238" t="s">
        <v>26</v>
      </c>
      <c r="E238" t="s">
        <v>44</v>
      </c>
      <c r="F238">
        <v>2</v>
      </c>
      <c r="G238">
        <v>6609.21</v>
      </c>
      <c r="H238" s="5">
        <v>0.1</v>
      </c>
      <c r="I238" t="s">
        <v>16</v>
      </c>
      <c r="J238" t="s">
        <v>49</v>
      </c>
      <c r="K238" t="s">
        <v>33</v>
      </c>
      <c r="L238">
        <v>11896.58</v>
      </c>
      <c r="M238" s="2" t="str">
        <f t="shared" si="6"/>
        <v>May</v>
      </c>
      <c r="N238" s="2" t="str">
        <f t="shared" si="7"/>
        <v>medium</v>
      </c>
      <c r="O238" s="2"/>
    </row>
    <row r="239" spans="1:15">
      <c r="A239" t="s">
        <v>297</v>
      </c>
      <c r="B239" s="1">
        <v>45399</v>
      </c>
      <c r="C239" t="s">
        <v>20</v>
      </c>
      <c r="D239" t="s">
        <v>57</v>
      </c>
      <c r="E239" t="s">
        <v>32</v>
      </c>
      <c r="F239">
        <v>6</v>
      </c>
      <c r="G239">
        <v>2978.86</v>
      </c>
      <c r="H239" s="5">
        <v>0.25</v>
      </c>
      <c r="I239" t="s">
        <v>16</v>
      </c>
      <c r="J239" t="s">
        <v>40</v>
      </c>
      <c r="K239" t="s">
        <v>33</v>
      </c>
      <c r="L239">
        <v>13404.87</v>
      </c>
      <c r="M239" s="2" t="str">
        <f t="shared" si="6"/>
        <v>Apr</v>
      </c>
      <c r="N239" s="2" t="str">
        <f t="shared" si="7"/>
        <v>medium</v>
      </c>
      <c r="O239" s="2"/>
    </row>
    <row r="240" spans="1:15">
      <c r="A240" t="s">
        <v>298</v>
      </c>
      <c r="B240" s="1">
        <v>45369</v>
      </c>
      <c r="C240" t="s">
        <v>35</v>
      </c>
      <c r="D240" t="s">
        <v>63</v>
      </c>
      <c r="E240" t="s">
        <v>27</v>
      </c>
      <c r="F240">
        <v>5</v>
      </c>
      <c r="G240">
        <v>5927.73</v>
      </c>
      <c r="H240" s="5">
        <v>0</v>
      </c>
      <c r="I240" t="s">
        <v>16</v>
      </c>
      <c r="J240" t="s">
        <v>17</v>
      </c>
      <c r="K240" t="s">
        <v>33</v>
      </c>
      <c r="L240">
        <v>29638.65</v>
      </c>
      <c r="M240" s="2" t="str">
        <f t="shared" si="6"/>
        <v>Mar</v>
      </c>
      <c r="N240" s="2" t="str">
        <f t="shared" si="7"/>
        <v>high</v>
      </c>
      <c r="O240" s="2"/>
    </row>
    <row r="241" spans="1:15">
      <c r="A241" t="s">
        <v>299</v>
      </c>
      <c r="B241" s="1">
        <v>45395</v>
      </c>
      <c r="C241" t="s">
        <v>35</v>
      </c>
      <c r="D241" t="s">
        <v>36</v>
      </c>
      <c r="E241" t="s">
        <v>1160</v>
      </c>
      <c r="F241">
        <v>6</v>
      </c>
      <c r="G241">
        <v>5562.25</v>
      </c>
      <c r="H241" s="5">
        <v>0</v>
      </c>
      <c r="I241" t="s">
        <v>16</v>
      </c>
      <c r="J241" t="s">
        <v>40</v>
      </c>
      <c r="K241" t="s">
        <v>18</v>
      </c>
      <c r="L241">
        <v>33373.5</v>
      </c>
      <c r="M241" s="2" t="str">
        <f t="shared" si="6"/>
        <v>Apr</v>
      </c>
      <c r="N241" s="2" t="str">
        <f t="shared" si="7"/>
        <v>high</v>
      </c>
      <c r="O241" s="2"/>
    </row>
    <row r="242" spans="1:15">
      <c r="A242" t="s">
        <v>300</v>
      </c>
      <c r="B242" s="1">
        <v>45353</v>
      </c>
      <c r="C242" t="s">
        <v>13</v>
      </c>
      <c r="D242" t="s">
        <v>76</v>
      </c>
      <c r="E242" t="s">
        <v>53</v>
      </c>
      <c r="F242">
        <v>4</v>
      </c>
      <c r="G242">
        <v>7769.12</v>
      </c>
      <c r="H242" s="5">
        <v>0.2</v>
      </c>
      <c r="I242" t="s">
        <v>16</v>
      </c>
      <c r="J242" t="s">
        <v>49</v>
      </c>
      <c r="K242" t="s">
        <v>18</v>
      </c>
      <c r="L242">
        <v>24861.18</v>
      </c>
      <c r="M242" s="2" t="str">
        <f t="shared" si="6"/>
        <v>Mar</v>
      </c>
      <c r="N242" s="2" t="str">
        <f t="shared" si="7"/>
        <v>high</v>
      </c>
      <c r="O242" s="2"/>
    </row>
    <row r="243" spans="1:15">
      <c r="A243" t="s">
        <v>301</v>
      </c>
      <c r="B243" s="1">
        <v>45331</v>
      </c>
      <c r="C243" t="s">
        <v>25</v>
      </c>
      <c r="D243" t="s">
        <v>46</v>
      </c>
      <c r="E243" t="s">
        <v>44</v>
      </c>
      <c r="F243">
        <v>3</v>
      </c>
      <c r="G243">
        <v>7768.35</v>
      </c>
      <c r="H243" s="5">
        <v>0.1</v>
      </c>
      <c r="I243" t="s">
        <v>22</v>
      </c>
      <c r="J243" t="s">
        <v>40</v>
      </c>
      <c r="K243" t="s">
        <v>33</v>
      </c>
      <c r="L243">
        <v>20974.55</v>
      </c>
      <c r="M243" s="2" t="str">
        <f t="shared" si="6"/>
        <v>Feb</v>
      </c>
      <c r="N243" s="2" t="str">
        <f t="shared" si="7"/>
        <v>high</v>
      </c>
      <c r="O243" s="2"/>
    </row>
    <row r="244" spans="1:15">
      <c r="A244" t="s">
        <v>302</v>
      </c>
      <c r="B244" s="1">
        <v>45576</v>
      </c>
      <c r="C244" t="s">
        <v>25</v>
      </c>
      <c r="D244" t="s">
        <v>31</v>
      </c>
      <c r="E244" t="s">
        <v>15</v>
      </c>
      <c r="F244">
        <v>3</v>
      </c>
      <c r="G244">
        <v>2247.58</v>
      </c>
      <c r="H244" s="5">
        <v>0.15</v>
      </c>
      <c r="I244" t="s">
        <v>22</v>
      </c>
      <c r="J244" t="s">
        <v>17</v>
      </c>
      <c r="K244" t="s">
        <v>33</v>
      </c>
      <c r="L244">
        <v>5731.33</v>
      </c>
      <c r="M244" s="2" t="str">
        <f t="shared" si="6"/>
        <v>Oct</v>
      </c>
      <c r="N244" s="2" t="str">
        <f t="shared" si="7"/>
        <v>low</v>
      </c>
      <c r="O244" s="2"/>
    </row>
    <row r="245" spans="1:15">
      <c r="A245" t="s">
        <v>303</v>
      </c>
      <c r="B245" s="1">
        <v>45568</v>
      </c>
      <c r="C245" t="s">
        <v>38</v>
      </c>
      <c r="D245" t="s">
        <v>39</v>
      </c>
      <c r="E245" t="s">
        <v>80</v>
      </c>
      <c r="F245">
        <v>4</v>
      </c>
      <c r="G245">
        <v>3156.36</v>
      </c>
      <c r="H245" s="5">
        <v>0.05</v>
      </c>
      <c r="I245" t="s">
        <v>55</v>
      </c>
      <c r="J245" t="s">
        <v>40</v>
      </c>
      <c r="K245" t="s">
        <v>33</v>
      </c>
      <c r="L245">
        <v>11994.17</v>
      </c>
      <c r="M245" s="2" t="str">
        <f t="shared" si="6"/>
        <v>Oct</v>
      </c>
      <c r="N245" s="2" t="str">
        <f t="shared" si="7"/>
        <v>medium</v>
      </c>
      <c r="O245" s="2"/>
    </row>
    <row r="246" spans="1:15">
      <c r="A246" t="s">
        <v>304</v>
      </c>
      <c r="B246" s="1">
        <v>45647</v>
      </c>
      <c r="C246" t="s">
        <v>25</v>
      </c>
      <c r="D246" t="s">
        <v>94</v>
      </c>
      <c r="E246" t="s">
        <v>27</v>
      </c>
      <c r="F246">
        <v>5</v>
      </c>
      <c r="G246">
        <v>5880.48</v>
      </c>
      <c r="H246" s="5">
        <v>0.1</v>
      </c>
      <c r="I246" t="s">
        <v>16</v>
      </c>
      <c r="J246" t="s">
        <v>40</v>
      </c>
      <c r="K246" t="s">
        <v>33</v>
      </c>
      <c r="L246">
        <v>26462.16</v>
      </c>
      <c r="M246" s="2" t="str">
        <f t="shared" si="6"/>
        <v>Dec</v>
      </c>
      <c r="N246" s="2" t="str">
        <f t="shared" si="7"/>
        <v>high</v>
      </c>
      <c r="O246" s="2"/>
    </row>
    <row r="247" spans="1:15">
      <c r="A247" t="s">
        <v>305</v>
      </c>
      <c r="B247" s="1">
        <v>45573</v>
      </c>
      <c r="C247" t="s">
        <v>25</v>
      </c>
      <c r="D247" t="s">
        <v>46</v>
      </c>
      <c r="E247" t="s">
        <v>44</v>
      </c>
      <c r="F247">
        <v>6</v>
      </c>
      <c r="G247">
        <v>2627.59</v>
      </c>
      <c r="H247" s="5">
        <v>0</v>
      </c>
      <c r="I247" t="s">
        <v>55</v>
      </c>
      <c r="J247" t="s">
        <v>17</v>
      </c>
      <c r="K247" t="s">
        <v>33</v>
      </c>
      <c r="L247">
        <v>15765.54</v>
      </c>
      <c r="M247" s="2" t="str">
        <f t="shared" si="6"/>
        <v>Oct</v>
      </c>
      <c r="N247" s="2" t="str">
        <f t="shared" si="7"/>
        <v>medium</v>
      </c>
      <c r="O247" s="2"/>
    </row>
    <row r="248" spans="1:15">
      <c r="A248" t="s">
        <v>306</v>
      </c>
      <c r="B248" s="1">
        <v>45493</v>
      </c>
      <c r="C248" t="s">
        <v>38</v>
      </c>
      <c r="D248" t="s">
        <v>100</v>
      </c>
      <c r="E248" t="s">
        <v>53</v>
      </c>
      <c r="F248">
        <v>5</v>
      </c>
      <c r="G248">
        <v>2241.31</v>
      </c>
      <c r="H248" s="5">
        <v>0.15</v>
      </c>
      <c r="I248" t="s">
        <v>16</v>
      </c>
      <c r="J248" t="s">
        <v>29</v>
      </c>
      <c r="K248" t="s">
        <v>33</v>
      </c>
      <c r="L248">
        <v>9525.57</v>
      </c>
      <c r="M248" s="2" t="str">
        <f t="shared" si="6"/>
        <v>Jul</v>
      </c>
      <c r="N248" s="2" t="str">
        <f t="shared" si="7"/>
        <v>low</v>
      </c>
      <c r="O248" s="2"/>
    </row>
    <row r="249" spans="1:15">
      <c r="A249" t="s">
        <v>307</v>
      </c>
      <c r="B249" s="1">
        <v>45584</v>
      </c>
      <c r="C249" t="s">
        <v>38</v>
      </c>
      <c r="D249" t="s">
        <v>100</v>
      </c>
      <c r="E249" t="s">
        <v>44</v>
      </c>
      <c r="F249">
        <v>2</v>
      </c>
      <c r="G249">
        <v>7995.38</v>
      </c>
      <c r="H249" s="5">
        <v>0</v>
      </c>
      <c r="I249" t="s">
        <v>28</v>
      </c>
      <c r="J249" t="s">
        <v>23</v>
      </c>
      <c r="K249" t="s">
        <v>33</v>
      </c>
      <c r="L249">
        <v>15990.76</v>
      </c>
      <c r="M249" s="2" t="str">
        <f t="shared" si="6"/>
        <v>Oct</v>
      </c>
      <c r="N249" s="2" t="str">
        <f t="shared" si="7"/>
        <v>medium</v>
      </c>
      <c r="O249" s="2"/>
    </row>
    <row r="250" spans="1:15">
      <c r="A250" t="s">
        <v>308</v>
      </c>
      <c r="B250" s="1">
        <v>45456</v>
      </c>
      <c r="C250" t="s">
        <v>38</v>
      </c>
      <c r="D250" t="s">
        <v>164</v>
      </c>
      <c r="E250" t="s">
        <v>32</v>
      </c>
      <c r="F250">
        <v>4</v>
      </c>
      <c r="G250">
        <v>2989.84</v>
      </c>
      <c r="H250" s="5">
        <v>0.2</v>
      </c>
      <c r="I250" t="s">
        <v>16</v>
      </c>
      <c r="J250" t="s">
        <v>49</v>
      </c>
      <c r="K250" t="s">
        <v>33</v>
      </c>
      <c r="L250">
        <v>9567.49</v>
      </c>
      <c r="M250" s="2" t="str">
        <f t="shared" si="6"/>
        <v>Jun</v>
      </c>
      <c r="N250" s="2" t="str">
        <f t="shared" si="7"/>
        <v>low</v>
      </c>
      <c r="O250" s="2"/>
    </row>
    <row r="251" spans="1:15">
      <c r="A251" t="s">
        <v>309</v>
      </c>
      <c r="B251" s="1">
        <v>45494</v>
      </c>
      <c r="C251" t="s">
        <v>38</v>
      </c>
      <c r="D251" t="s">
        <v>42</v>
      </c>
      <c r="E251" t="s">
        <v>27</v>
      </c>
      <c r="F251">
        <v>3</v>
      </c>
      <c r="G251">
        <v>7976.15</v>
      </c>
      <c r="H251" s="5">
        <v>0</v>
      </c>
      <c r="I251" t="s">
        <v>55</v>
      </c>
      <c r="J251" t="s">
        <v>40</v>
      </c>
      <c r="K251" t="s">
        <v>33</v>
      </c>
      <c r="L251">
        <v>23928.45</v>
      </c>
      <c r="M251" s="2" t="str">
        <f t="shared" si="6"/>
        <v>Jul</v>
      </c>
      <c r="N251" s="2" t="str">
        <f t="shared" si="7"/>
        <v>high</v>
      </c>
      <c r="O251" s="2"/>
    </row>
    <row r="252" spans="1:15">
      <c r="A252" t="s">
        <v>310</v>
      </c>
      <c r="B252" s="1">
        <v>45610</v>
      </c>
      <c r="C252" t="s">
        <v>13</v>
      </c>
      <c r="D252" t="s">
        <v>74</v>
      </c>
      <c r="E252" t="s">
        <v>1160</v>
      </c>
      <c r="F252">
        <v>3</v>
      </c>
      <c r="G252">
        <v>4258.58</v>
      </c>
      <c r="H252" s="5">
        <v>0.2</v>
      </c>
      <c r="I252" t="s">
        <v>16</v>
      </c>
      <c r="J252" t="s">
        <v>23</v>
      </c>
      <c r="K252" t="s">
        <v>33</v>
      </c>
      <c r="L252">
        <v>10220.59</v>
      </c>
      <c r="M252" s="2" t="str">
        <f t="shared" si="6"/>
        <v>Nov</v>
      </c>
      <c r="N252" s="2" t="str">
        <f t="shared" si="7"/>
        <v>medium</v>
      </c>
      <c r="O252" s="2"/>
    </row>
    <row r="253" spans="1:15">
      <c r="A253" t="s">
        <v>311</v>
      </c>
      <c r="B253" s="1">
        <v>45422</v>
      </c>
      <c r="C253" t="s">
        <v>25</v>
      </c>
      <c r="D253" t="s">
        <v>46</v>
      </c>
      <c r="E253" t="s">
        <v>80</v>
      </c>
      <c r="F253">
        <v>2</v>
      </c>
      <c r="G253">
        <v>2233.42</v>
      </c>
      <c r="H253" s="5">
        <v>0.25</v>
      </c>
      <c r="I253" t="s">
        <v>16</v>
      </c>
      <c r="J253" t="s">
        <v>29</v>
      </c>
      <c r="K253" t="s">
        <v>33</v>
      </c>
      <c r="L253">
        <v>3350.13</v>
      </c>
      <c r="M253" s="2" t="str">
        <f t="shared" si="6"/>
        <v>May</v>
      </c>
      <c r="N253" s="2" t="str">
        <f t="shared" si="7"/>
        <v>low</v>
      </c>
      <c r="O253" s="2"/>
    </row>
    <row r="254" spans="1:15">
      <c r="A254" t="s">
        <v>312</v>
      </c>
      <c r="B254" s="1">
        <v>45479</v>
      </c>
      <c r="C254" t="s">
        <v>35</v>
      </c>
      <c r="D254" t="s">
        <v>65</v>
      </c>
      <c r="E254" t="s">
        <v>15</v>
      </c>
      <c r="F254">
        <v>1</v>
      </c>
      <c r="G254">
        <v>5743.41</v>
      </c>
      <c r="H254" s="5">
        <v>0.1</v>
      </c>
      <c r="I254" t="s">
        <v>55</v>
      </c>
      <c r="J254" t="s">
        <v>49</v>
      </c>
      <c r="K254" t="s">
        <v>33</v>
      </c>
      <c r="L254">
        <v>5169.07</v>
      </c>
      <c r="M254" s="2" t="str">
        <f t="shared" si="6"/>
        <v>Jul</v>
      </c>
      <c r="N254" s="2" t="str">
        <f t="shared" si="7"/>
        <v>low</v>
      </c>
      <c r="O254" s="2"/>
    </row>
    <row r="255" spans="1:15">
      <c r="A255" t="s">
        <v>313</v>
      </c>
      <c r="B255" s="1">
        <v>45324</v>
      </c>
      <c r="C255" t="s">
        <v>25</v>
      </c>
      <c r="D255" t="s">
        <v>26</v>
      </c>
      <c r="E255" t="s">
        <v>80</v>
      </c>
      <c r="F255">
        <v>6</v>
      </c>
      <c r="G255">
        <v>1744.56</v>
      </c>
      <c r="H255" s="5">
        <v>0</v>
      </c>
      <c r="I255" t="s">
        <v>16</v>
      </c>
      <c r="J255" t="s">
        <v>40</v>
      </c>
      <c r="K255" t="s">
        <v>18</v>
      </c>
      <c r="L255">
        <v>10467.36</v>
      </c>
      <c r="M255" s="2" t="str">
        <f t="shared" si="6"/>
        <v>Feb</v>
      </c>
      <c r="N255" s="2" t="str">
        <f t="shared" si="7"/>
        <v>medium</v>
      </c>
      <c r="O255" s="2"/>
    </row>
    <row r="256" spans="1:15">
      <c r="A256" t="s">
        <v>314</v>
      </c>
      <c r="B256" s="1">
        <v>45528</v>
      </c>
      <c r="C256" t="s">
        <v>25</v>
      </c>
      <c r="D256" t="s">
        <v>94</v>
      </c>
      <c r="E256" t="s">
        <v>44</v>
      </c>
      <c r="F256">
        <v>6</v>
      </c>
      <c r="G256">
        <v>6740.7</v>
      </c>
      <c r="H256" s="5">
        <v>0.2</v>
      </c>
      <c r="I256" t="s">
        <v>55</v>
      </c>
      <c r="J256" t="s">
        <v>40</v>
      </c>
      <c r="K256" t="s">
        <v>33</v>
      </c>
      <c r="L256">
        <v>32355.360000000001</v>
      </c>
      <c r="M256" s="2" t="str">
        <f t="shared" si="6"/>
        <v>Aug</v>
      </c>
      <c r="N256" s="2" t="str">
        <f t="shared" si="7"/>
        <v>high</v>
      </c>
      <c r="O256" s="2"/>
    </row>
    <row r="257" spans="1:15">
      <c r="A257" t="s">
        <v>315</v>
      </c>
      <c r="B257" s="1">
        <v>45640</v>
      </c>
      <c r="C257" t="s">
        <v>20</v>
      </c>
      <c r="D257" t="s">
        <v>78</v>
      </c>
      <c r="E257" t="s">
        <v>32</v>
      </c>
      <c r="F257">
        <v>3</v>
      </c>
      <c r="G257">
        <v>4497.72</v>
      </c>
      <c r="H257" s="5">
        <v>0.2</v>
      </c>
      <c r="I257" t="s">
        <v>55</v>
      </c>
      <c r="J257" t="s">
        <v>40</v>
      </c>
      <c r="K257" t="s">
        <v>33</v>
      </c>
      <c r="L257">
        <v>10794.53</v>
      </c>
      <c r="M257" s="2" t="str">
        <f t="shared" si="6"/>
        <v>Dec</v>
      </c>
      <c r="N257" s="2" t="str">
        <f t="shared" si="7"/>
        <v>medium</v>
      </c>
      <c r="O257" s="2"/>
    </row>
    <row r="258" spans="1:15">
      <c r="A258" t="s">
        <v>316</v>
      </c>
      <c r="B258" s="1">
        <v>45320</v>
      </c>
      <c r="C258" t="s">
        <v>35</v>
      </c>
      <c r="D258" t="s">
        <v>63</v>
      </c>
      <c r="E258" t="s">
        <v>44</v>
      </c>
      <c r="F258">
        <v>6</v>
      </c>
      <c r="G258">
        <v>1718.71</v>
      </c>
      <c r="H258" s="5">
        <v>0.15</v>
      </c>
      <c r="I258" t="s">
        <v>55</v>
      </c>
      <c r="J258" t="s">
        <v>23</v>
      </c>
      <c r="K258" t="s">
        <v>33</v>
      </c>
      <c r="L258">
        <v>8765.42</v>
      </c>
      <c r="M258" s="2" t="str">
        <f t="shared" ref="M258:M321" si="8">TEXT(B258,"mmm")</f>
        <v>Jan</v>
      </c>
      <c r="N258" s="2" t="str">
        <f t="shared" ref="N258:N321" si="9">IF(L258&gt;20000,"high",IF(L258&gt;10000,"medium","low"))</f>
        <v>low</v>
      </c>
      <c r="O258" s="2"/>
    </row>
    <row r="259" spans="1:15">
      <c r="A259" t="s">
        <v>317</v>
      </c>
      <c r="B259" s="1">
        <v>45463</v>
      </c>
      <c r="C259" t="s">
        <v>35</v>
      </c>
      <c r="D259" t="s">
        <v>63</v>
      </c>
      <c r="E259" t="s">
        <v>80</v>
      </c>
      <c r="F259">
        <v>2</v>
      </c>
      <c r="G259">
        <v>4218.0200000000004</v>
      </c>
      <c r="H259" s="5">
        <v>0</v>
      </c>
      <c r="I259" t="s">
        <v>16</v>
      </c>
      <c r="J259" t="s">
        <v>29</v>
      </c>
      <c r="K259" t="s">
        <v>33</v>
      </c>
      <c r="L259">
        <v>8436.0400000000009</v>
      </c>
      <c r="M259" s="2" t="str">
        <f t="shared" si="8"/>
        <v>Jun</v>
      </c>
      <c r="N259" s="2" t="str">
        <f t="shared" si="9"/>
        <v>low</v>
      </c>
      <c r="O259" s="2"/>
    </row>
    <row r="260" spans="1:15">
      <c r="A260" t="s">
        <v>318</v>
      </c>
      <c r="B260" s="1">
        <v>45640</v>
      </c>
      <c r="C260" t="s">
        <v>25</v>
      </c>
      <c r="D260" t="s">
        <v>87</v>
      </c>
      <c r="E260" t="s">
        <v>15</v>
      </c>
      <c r="F260">
        <v>1</v>
      </c>
      <c r="G260">
        <v>2558.75</v>
      </c>
      <c r="H260" s="5">
        <v>0.1</v>
      </c>
      <c r="I260" t="s">
        <v>55</v>
      </c>
      <c r="J260" t="s">
        <v>40</v>
      </c>
      <c r="K260" t="s">
        <v>33</v>
      </c>
      <c r="L260">
        <v>2302.88</v>
      </c>
      <c r="M260" s="2" t="str">
        <f t="shared" si="8"/>
        <v>Dec</v>
      </c>
      <c r="N260" s="2" t="str">
        <f t="shared" si="9"/>
        <v>low</v>
      </c>
      <c r="O260" s="2"/>
    </row>
    <row r="261" spans="1:15">
      <c r="A261" t="s">
        <v>319</v>
      </c>
      <c r="B261" s="1">
        <v>45628</v>
      </c>
      <c r="C261" t="s">
        <v>25</v>
      </c>
      <c r="D261" t="s">
        <v>46</v>
      </c>
      <c r="E261" t="s">
        <v>44</v>
      </c>
      <c r="F261">
        <v>4</v>
      </c>
      <c r="G261">
        <v>5722.51</v>
      </c>
      <c r="H261" s="5">
        <v>0.05</v>
      </c>
      <c r="I261" t="s">
        <v>16</v>
      </c>
      <c r="J261" t="s">
        <v>40</v>
      </c>
      <c r="K261" t="s">
        <v>33</v>
      </c>
      <c r="L261">
        <v>21745.54</v>
      </c>
      <c r="M261" s="2" t="str">
        <f t="shared" si="8"/>
        <v>Dec</v>
      </c>
      <c r="N261" s="2" t="str">
        <f t="shared" si="9"/>
        <v>high</v>
      </c>
      <c r="O261" s="2"/>
    </row>
    <row r="262" spans="1:15">
      <c r="A262" t="s">
        <v>320</v>
      </c>
      <c r="B262" s="1">
        <v>45501</v>
      </c>
      <c r="C262" t="s">
        <v>35</v>
      </c>
      <c r="D262" t="s">
        <v>36</v>
      </c>
      <c r="E262" t="s">
        <v>53</v>
      </c>
      <c r="F262">
        <v>5</v>
      </c>
      <c r="G262">
        <v>6613.59</v>
      </c>
      <c r="H262" s="5">
        <v>0</v>
      </c>
      <c r="I262" t="s">
        <v>16</v>
      </c>
      <c r="J262" t="s">
        <v>49</v>
      </c>
      <c r="K262" t="s">
        <v>33</v>
      </c>
      <c r="L262">
        <v>33067.949999999997</v>
      </c>
      <c r="M262" s="2" t="str">
        <f t="shared" si="8"/>
        <v>Jul</v>
      </c>
      <c r="N262" s="2" t="str">
        <f t="shared" si="9"/>
        <v>high</v>
      </c>
      <c r="O262" s="2"/>
    </row>
    <row r="263" spans="1:15">
      <c r="A263" t="s">
        <v>321</v>
      </c>
      <c r="B263" s="1">
        <v>45396</v>
      </c>
      <c r="C263" t="s">
        <v>38</v>
      </c>
      <c r="D263" t="s">
        <v>39</v>
      </c>
      <c r="E263" t="s">
        <v>1160</v>
      </c>
      <c r="F263">
        <v>1</v>
      </c>
      <c r="G263">
        <v>1564.06</v>
      </c>
      <c r="H263" s="5">
        <v>0</v>
      </c>
      <c r="I263" t="s">
        <v>16</v>
      </c>
      <c r="J263" t="s">
        <v>40</v>
      </c>
      <c r="K263" t="s">
        <v>33</v>
      </c>
      <c r="L263">
        <v>1564.06</v>
      </c>
      <c r="M263" s="2" t="str">
        <f t="shared" si="8"/>
        <v>Apr</v>
      </c>
      <c r="N263" s="2" t="str">
        <f t="shared" si="9"/>
        <v>low</v>
      </c>
      <c r="O263" s="2"/>
    </row>
    <row r="264" spans="1:15">
      <c r="A264" t="s">
        <v>322</v>
      </c>
      <c r="B264" s="1">
        <v>45400</v>
      </c>
      <c r="C264" t="s">
        <v>38</v>
      </c>
      <c r="D264" t="s">
        <v>164</v>
      </c>
      <c r="E264" t="s">
        <v>27</v>
      </c>
      <c r="F264">
        <v>5</v>
      </c>
      <c r="G264">
        <v>6730.68</v>
      </c>
      <c r="H264" s="5">
        <v>0.05</v>
      </c>
      <c r="I264" t="s">
        <v>22</v>
      </c>
      <c r="J264" t="s">
        <v>40</v>
      </c>
      <c r="K264" t="s">
        <v>33</v>
      </c>
      <c r="L264">
        <v>31970.73</v>
      </c>
      <c r="M264" s="2" t="str">
        <f t="shared" si="8"/>
        <v>Apr</v>
      </c>
      <c r="N264" s="2" t="str">
        <f t="shared" si="9"/>
        <v>high</v>
      </c>
      <c r="O264" s="2"/>
    </row>
    <row r="265" spans="1:15">
      <c r="A265" t="s">
        <v>323</v>
      </c>
      <c r="B265" s="1">
        <v>45643</v>
      </c>
      <c r="C265" t="s">
        <v>20</v>
      </c>
      <c r="D265" t="s">
        <v>59</v>
      </c>
      <c r="E265" t="s">
        <v>44</v>
      </c>
      <c r="F265">
        <v>4</v>
      </c>
      <c r="G265">
        <v>1365.47</v>
      </c>
      <c r="H265" s="5">
        <v>0</v>
      </c>
      <c r="I265" t="s">
        <v>22</v>
      </c>
      <c r="J265" t="s">
        <v>49</v>
      </c>
      <c r="K265" t="s">
        <v>33</v>
      </c>
      <c r="L265">
        <v>5461.88</v>
      </c>
      <c r="M265" s="2" t="str">
        <f t="shared" si="8"/>
        <v>Dec</v>
      </c>
      <c r="N265" s="2" t="str">
        <f t="shared" si="9"/>
        <v>low</v>
      </c>
      <c r="O265" s="2"/>
    </row>
    <row r="266" spans="1:15">
      <c r="A266" t="s">
        <v>324</v>
      </c>
      <c r="B266" s="1">
        <v>45424</v>
      </c>
      <c r="C266" t="s">
        <v>25</v>
      </c>
      <c r="D266" t="s">
        <v>26</v>
      </c>
      <c r="E266" t="s">
        <v>27</v>
      </c>
      <c r="F266">
        <v>3</v>
      </c>
      <c r="G266">
        <v>4457.54</v>
      </c>
      <c r="H266" s="5">
        <v>0.1</v>
      </c>
      <c r="I266" t="s">
        <v>16</v>
      </c>
      <c r="J266" t="s">
        <v>29</v>
      </c>
      <c r="K266" t="s">
        <v>33</v>
      </c>
      <c r="L266">
        <v>12035.36</v>
      </c>
      <c r="M266" s="2" t="str">
        <f t="shared" si="8"/>
        <v>May</v>
      </c>
      <c r="N266" s="2" t="str">
        <f t="shared" si="9"/>
        <v>medium</v>
      </c>
      <c r="O266" s="2"/>
    </row>
    <row r="267" spans="1:15">
      <c r="A267" t="s">
        <v>325</v>
      </c>
      <c r="B267" s="1">
        <v>45627</v>
      </c>
      <c r="C267" t="s">
        <v>20</v>
      </c>
      <c r="D267" t="s">
        <v>59</v>
      </c>
      <c r="E267" t="s">
        <v>1160</v>
      </c>
      <c r="F267">
        <v>5</v>
      </c>
      <c r="G267">
        <v>5599.41</v>
      </c>
      <c r="H267" s="5">
        <v>0.1</v>
      </c>
      <c r="I267" t="s">
        <v>55</v>
      </c>
      <c r="J267" t="s">
        <v>40</v>
      </c>
      <c r="K267" t="s">
        <v>33</v>
      </c>
      <c r="L267">
        <v>25197.35</v>
      </c>
      <c r="M267" s="2" t="str">
        <f t="shared" si="8"/>
        <v>Dec</v>
      </c>
      <c r="N267" s="2" t="str">
        <f t="shared" si="9"/>
        <v>high</v>
      </c>
      <c r="O267" s="2"/>
    </row>
    <row r="268" spans="1:15">
      <c r="A268" t="s">
        <v>326</v>
      </c>
      <c r="B268" s="1">
        <v>45440</v>
      </c>
      <c r="C268" t="s">
        <v>35</v>
      </c>
      <c r="D268" t="s">
        <v>63</v>
      </c>
      <c r="E268" t="s">
        <v>53</v>
      </c>
      <c r="F268">
        <v>4</v>
      </c>
      <c r="G268">
        <v>2881.4</v>
      </c>
      <c r="H268" s="5">
        <v>0.25</v>
      </c>
      <c r="I268" t="s">
        <v>16</v>
      </c>
      <c r="J268" t="s">
        <v>40</v>
      </c>
      <c r="K268" t="s">
        <v>33</v>
      </c>
      <c r="L268">
        <v>8644.2000000000007</v>
      </c>
      <c r="M268" s="2" t="str">
        <f t="shared" si="8"/>
        <v>May</v>
      </c>
      <c r="N268" s="2" t="str">
        <f t="shared" si="9"/>
        <v>low</v>
      </c>
      <c r="O268" s="2"/>
    </row>
    <row r="269" spans="1:15">
      <c r="A269" t="s">
        <v>327</v>
      </c>
      <c r="B269" s="1">
        <v>45408</v>
      </c>
      <c r="C269" t="s">
        <v>20</v>
      </c>
      <c r="D269" t="s">
        <v>78</v>
      </c>
      <c r="E269" t="s">
        <v>27</v>
      </c>
      <c r="F269">
        <v>5</v>
      </c>
      <c r="G269">
        <v>7408.16</v>
      </c>
      <c r="H269" s="5">
        <v>0</v>
      </c>
      <c r="I269" t="s">
        <v>28</v>
      </c>
      <c r="J269" t="s">
        <v>29</v>
      </c>
      <c r="K269" t="s">
        <v>18</v>
      </c>
      <c r="L269">
        <v>37040.800000000003</v>
      </c>
      <c r="M269" s="2" t="str">
        <f t="shared" si="8"/>
        <v>Apr</v>
      </c>
      <c r="N269" s="2" t="str">
        <f t="shared" si="9"/>
        <v>high</v>
      </c>
      <c r="O269" s="2"/>
    </row>
    <row r="270" spans="1:15">
      <c r="A270" t="s">
        <v>328</v>
      </c>
      <c r="B270" s="1">
        <v>45522</v>
      </c>
      <c r="C270" t="s">
        <v>20</v>
      </c>
      <c r="D270" t="s">
        <v>59</v>
      </c>
      <c r="E270" t="s">
        <v>80</v>
      </c>
      <c r="F270">
        <v>4</v>
      </c>
      <c r="G270">
        <v>2092.06</v>
      </c>
      <c r="H270" s="5">
        <v>0.15</v>
      </c>
      <c r="I270" t="s">
        <v>16</v>
      </c>
      <c r="J270" t="s">
        <v>17</v>
      </c>
      <c r="K270" t="s">
        <v>18</v>
      </c>
      <c r="L270">
        <v>7113</v>
      </c>
      <c r="M270" s="2" t="str">
        <f t="shared" si="8"/>
        <v>Aug</v>
      </c>
      <c r="N270" s="2" t="str">
        <f t="shared" si="9"/>
        <v>low</v>
      </c>
      <c r="O270" s="2"/>
    </row>
    <row r="271" spans="1:15">
      <c r="A271" t="s">
        <v>329</v>
      </c>
      <c r="B271" s="1">
        <v>45596</v>
      </c>
      <c r="C271" t="s">
        <v>25</v>
      </c>
      <c r="D271" t="s">
        <v>31</v>
      </c>
      <c r="E271" t="s">
        <v>47</v>
      </c>
      <c r="F271">
        <v>4</v>
      </c>
      <c r="G271">
        <v>3771.97</v>
      </c>
      <c r="H271" s="5">
        <v>0</v>
      </c>
      <c r="I271" t="s">
        <v>16</v>
      </c>
      <c r="J271" t="s">
        <v>49</v>
      </c>
      <c r="K271" t="s">
        <v>33</v>
      </c>
      <c r="L271">
        <v>15087.88</v>
      </c>
      <c r="M271" s="2" t="str">
        <f t="shared" si="8"/>
        <v>Oct</v>
      </c>
      <c r="N271" s="2" t="str">
        <f t="shared" si="9"/>
        <v>medium</v>
      </c>
      <c r="O271" s="2"/>
    </row>
    <row r="272" spans="1:15">
      <c r="A272" t="s">
        <v>330</v>
      </c>
      <c r="B272" s="1">
        <v>45476</v>
      </c>
      <c r="C272" t="s">
        <v>35</v>
      </c>
      <c r="D272" t="s">
        <v>97</v>
      </c>
      <c r="E272" t="s">
        <v>47</v>
      </c>
      <c r="F272">
        <v>2</v>
      </c>
      <c r="G272">
        <v>5352.55</v>
      </c>
      <c r="H272" s="5">
        <v>0</v>
      </c>
      <c r="I272" t="s">
        <v>16</v>
      </c>
      <c r="J272" t="s">
        <v>29</v>
      </c>
      <c r="K272" t="s">
        <v>18</v>
      </c>
      <c r="L272">
        <v>10705.1</v>
      </c>
      <c r="M272" s="2" t="str">
        <f t="shared" si="8"/>
        <v>Jul</v>
      </c>
      <c r="N272" s="2" t="str">
        <f t="shared" si="9"/>
        <v>medium</v>
      </c>
      <c r="O272" s="2"/>
    </row>
    <row r="273" spans="1:15">
      <c r="A273" t="s">
        <v>331</v>
      </c>
      <c r="B273" s="1">
        <v>45370</v>
      </c>
      <c r="C273" t="s">
        <v>35</v>
      </c>
      <c r="D273" t="s">
        <v>63</v>
      </c>
      <c r="E273" t="s">
        <v>53</v>
      </c>
      <c r="F273">
        <v>4</v>
      </c>
      <c r="G273">
        <v>2273.1799999999998</v>
      </c>
      <c r="H273" s="5">
        <v>0</v>
      </c>
      <c r="I273" t="s">
        <v>16</v>
      </c>
      <c r="J273" t="s">
        <v>29</v>
      </c>
      <c r="K273" t="s">
        <v>33</v>
      </c>
      <c r="L273">
        <v>9092.7199999999993</v>
      </c>
      <c r="M273" s="2" t="str">
        <f t="shared" si="8"/>
        <v>Mar</v>
      </c>
      <c r="N273" s="2" t="str">
        <f t="shared" si="9"/>
        <v>low</v>
      </c>
      <c r="O273" s="2"/>
    </row>
    <row r="274" spans="1:15">
      <c r="A274" t="s">
        <v>332</v>
      </c>
      <c r="B274" s="1">
        <v>45357</v>
      </c>
      <c r="C274" t="s">
        <v>13</v>
      </c>
      <c r="D274" t="s">
        <v>74</v>
      </c>
      <c r="E274" t="s">
        <v>1160</v>
      </c>
      <c r="F274">
        <v>2</v>
      </c>
      <c r="G274">
        <v>5853.66</v>
      </c>
      <c r="H274" s="5">
        <v>0.1</v>
      </c>
      <c r="I274" t="s">
        <v>16</v>
      </c>
      <c r="J274" t="s">
        <v>49</v>
      </c>
      <c r="K274" t="s">
        <v>33</v>
      </c>
      <c r="L274">
        <v>10536.59</v>
      </c>
      <c r="M274" s="2" t="str">
        <f t="shared" si="8"/>
        <v>Mar</v>
      </c>
      <c r="N274" s="2" t="str">
        <f t="shared" si="9"/>
        <v>medium</v>
      </c>
      <c r="O274" s="2"/>
    </row>
    <row r="275" spans="1:15">
      <c r="A275" t="s">
        <v>333</v>
      </c>
      <c r="B275" s="1">
        <v>45370</v>
      </c>
      <c r="C275" t="s">
        <v>20</v>
      </c>
      <c r="D275" t="s">
        <v>21</v>
      </c>
      <c r="E275" t="s">
        <v>47</v>
      </c>
      <c r="F275">
        <v>3</v>
      </c>
      <c r="G275">
        <v>7985.54</v>
      </c>
      <c r="H275" s="5">
        <v>0.2</v>
      </c>
      <c r="I275" t="s">
        <v>55</v>
      </c>
      <c r="J275" t="s">
        <v>49</v>
      </c>
      <c r="K275" t="s">
        <v>33</v>
      </c>
      <c r="L275">
        <v>19165.3</v>
      </c>
      <c r="M275" s="2" t="str">
        <f t="shared" si="8"/>
        <v>Mar</v>
      </c>
      <c r="N275" s="2" t="str">
        <f t="shared" si="9"/>
        <v>medium</v>
      </c>
      <c r="O275" s="2"/>
    </row>
    <row r="276" spans="1:15">
      <c r="A276" t="s">
        <v>334</v>
      </c>
      <c r="B276" s="1">
        <v>45417</v>
      </c>
      <c r="C276" t="s">
        <v>20</v>
      </c>
      <c r="D276" t="s">
        <v>61</v>
      </c>
      <c r="E276" t="s">
        <v>32</v>
      </c>
      <c r="F276">
        <v>1</v>
      </c>
      <c r="G276">
        <v>4853.55</v>
      </c>
      <c r="H276" s="5">
        <v>0</v>
      </c>
      <c r="I276" t="s">
        <v>16</v>
      </c>
      <c r="J276" t="s">
        <v>40</v>
      </c>
      <c r="K276" t="s">
        <v>33</v>
      </c>
      <c r="L276">
        <v>4853.55</v>
      </c>
      <c r="M276" s="2" t="str">
        <f t="shared" si="8"/>
        <v>May</v>
      </c>
      <c r="N276" s="2" t="str">
        <f t="shared" si="9"/>
        <v>low</v>
      </c>
      <c r="O276" s="2"/>
    </row>
    <row r="277" spans="1:15">
      <c r="A277" t="s">
        <v>335</v>
      </c>
      <c r="B277" s="1">
        <v>45454</v>
      </c>
      <c r="C277" t="s">
        <v>25</v>
      </c>
      <c r="D277" t="s">
        <v>26</v>
      </c>
      <c r="E277" t="s">
        <v>32</v>
      </c>
      <c r="F277">
        <v>4</v>
      </c>
      <c r="G277">
        <v>6324.83</v>
      </c>
      <c r="H277" s="5">
        <v>0</v>
      </c>
      <c r="I277" t="s">
        <v>16</v>
      </c>
      <c r="J277" t="s">
        <v>29</v>
      </c>
      <c r="K277" t="s">
        <v>33</v>
      </c>
      <c r="L277">
        <v>25299.32</v>
      </c>
      <c r="M277" s="2" t="str">
        <f t="shared" si="8"/>
        <v>Jun</v>
      </c>
      <c r="N277" s="2" t="str">
        <f t="shared" si="9"/>
        <v>high</v>
      </c>
      <c r="O277" s="2"/>
    </row>
    <row r="278" spans="1:15">
      <c r="A278" t="s">
        <v>336</v>
      </c>
      <c r="B278" s="1">
        <v>45643</v>
      </c>
      <c r="C278" t="s">
        <v>20</v>
      </c>
      <c r="D278" t="s">
        <v>61</v>
      </c>
      <c r="E278" t="s">
        <v>1160</v>
      </c>
      <c r="F278">
        <v>3</v>
      </c>
      <c r="G278">
        <v>5712.49</v>
      </c>
      <c r="H278" s="5">
        <v>0</v>
      </c>
      <c r="I278" t="s">
        <v>16</v>
      </c>
      <c r="J278" t="s">
        <v>40</v>
      </c>
      <c r="K278" t="s">
        <v>18</v>
      </c>
      <c r="L278">
        <v>17137.47</v>
      </c>
      <c r="M278" s="2" t="str">
        <f t="shared" si="8"/>
        <v>Dec</v>
      </c>
      <c r="N278" s="2" t="str">
        <f t="shared" si="9"/>
        <v>medium</v>
      </c>
      <c r="O278" s="2"/>
    </row>
    <row r="279" spans="1:15">
      <c r="A279" t="s">
        <v>337</v>
      </c>
      <c r="B279" s="1">
        <v>45502</v>
      </c>
      <c r="C279" t="s">
        <v>20</v>
      </c>
      <c r="D279" t="s">
        <v>21</v>
      </c>
      <c r="E279" t="s">
        <v>80</v>
      </c>
      <c r="F279">
        <v>1</v>
      </c>
      <c r="G279">
        <v>5259.93</v>
      </c>
      <c r="H279" s="5">
        <v>0.15</v>
      </c>
      <c r="I279" t="s">
        <v>28</v>
      </c>
      <c r="J279" t="s">
        <v>23</v>
      </c>
      <c r="K279" t="s">
        <v>33</v>
      </c>
      <c r="L279">
        <v>4470.9399999999996</v>
      </c>
      <c r="M279" s="2" t="str">
        <f t="shared" si="8"/>
        <v>Jul</v>
      </c>
      <c r="N279" s="2" t="str">
        <f t="shared" si="9"/>
        <v>low</v>
      </c>
      <c r="O279" s="2"/>
    </row>
    <row r="280" spans="1:15">
      <c r="A280" t="s">
        <v>338</v>
      </c>
      <c r="B280" s="1">
        <v>45640</v>
      </c>
      <c r="C280" t="s">
        <v>13</v>
      </c>
      <c r="D280" t="s">
        <v>76</v>
      </c>
      <c r="E280" t="s">
        <v>44</v>
      </c>
      <c r="F280">
        <v>5</v>
      </c>
      <c r="G280">
        <v>1443.09</v>
      </c>
      <c r="H280" s="5">
        <v>0.2</v>
      </c>
      <c r="I280" t="s">
        <v>22</v>
      </c>
      <c r="J280" t="s">
        <v>49</v>
      </c>
      <c r="K280" t="s">
        <v>18</v>
      </c>
      <c r="L280">
        <v>5772.36</v>
      </c>
      <c r="M280" s="2" t="str">
        <f t="shared" si="8"/>
        <v>Dec</v>
      </c>
      <c r="N280" s="2" t="str">
        <f t="shared" si="9"/>
        <v>low</v>
      </c>
      <c r="O280" s="2"/>
    </row>
    <row r="281" spans="1:15">
      <c r="A281" t="s">
        <v>339</v>
      </c>
      <c r="B281" s="1">
        <v>45414</v>
      </c>
      <c r="C281" t="s">
        <v>35</v>
      </c>
      <c r="D281" t="s">
        <v>97</v>
      </c>
      <c r="E281" t="s">
        <v>1160</v>
      </c>
      <c r="F281">
        <v>2</v>
      </c>
      <c r="G281">
        <v>4762.8599999999997</v>
      </c>
      <c r="H281" s="5">
        <v>0.1</v>
      </c>
      <c r="I281" t="s">
        <v>55</v>
      </c>
      <c r="J281" t="s">
        <v>17</v>
      </c>
      <c r="K281" t="s">
        <v>33</v>
      </c>
      <c r="L281">
        <v>8573.15</v>
      </c>
      <c r="M281" s="2" t="str">
        <f t="shared" si="8"/>
        <v>May</v>
      </c>
      <c r="N281" s="2" t="str">
        <f t="shared" si="9"/>
        <v>low</v>
      </c>
      <c r="O281" s="2"/>
    </row>
    <row r="282" spans="1:15">
      <c r="A282" t="s">
        <v>340</v>
      </c>
      <c r="B282" s="1">
        <v>45408</v>
      </c>
      <c r="C282" t="s">
        <v>38</v>
      </c>
      <c r="D282" t="s">
        <v>39</v>
      </c>
      <c r="E282" t="s">
        <v>53</v>
      </c>
      <c r="F282">
        <v>6</v>
      </c>
      <c r="G282">
        <v>5424.68</v>
      </c>
      <c r="H282" s="5">
        <v>0.15</v>
      </c>
      <c r="I282" t="s">
        <v>22</v>
      </c>
      <c r="J282" t="s">
        <v>17</v>
      </c>
      <c r="K282" t="s">
        <v>18</v>
      </c>
      <c r="L282">
        <f>(F282*G282)-(F282*G282)*H282</f>
        <v>27665.868000000002</v>
      </c>
      <c r="M282" s="2" t="str">
        <f t="shared" si="8"/>
        <v>Apr</v>
      </c>
      <c r="N282" s="2" t="str">
        <f t="shared" si="9"/>
        <v>high</v>
      </c>
      <c r="O282" s="2"/>
    </row>
    <row r="283" spans="1:15">
      <c r="A283" t="s">
        <v>341</v>
      </c>
      <c r="B283" s="1">
        <v>45502</v>
      </c>
      <c r="C283" t="s">
        <v>35</v>
      </c>
      <c r="D283" t="s">
        <v>65</v>
      </c>
      <c r="E283" t="s">
        <v>15</v>
      </c>
      <c r="F283">
        <v>5</v>
      </c>
      <c r="G283">
        <v>2500.75</v>
      </c>
      <c r="H283" s="5">
        <v>0.05</v>
      </c>
      <c r="I283" t="s">
        <v>16</v>
      </c>
      <c r="J283" t="s">
        <v>40</v>
      </c>
      <c r="K283" t="s">
        <v>33</v>
      </c>
      <c r="L283">
        <v>11878.56</v>
      </c>
      <c r="M283" s="2" t="str">
        <f t="shared" si="8"/>
        <v>Jul</v>
      </c>
      <c r="N283" s="2" t="str">
        <f t="shared" si="9"/>
        <v>medium</v>
      </c>
      <c r="O283" s="2"/>
    </row>
    <row r="284" spans="1:15">
      <c r="A284" t="s">
        <v>342</v>
      </c>
      <c r="B284" s="1">
        <v>45387</v>
      </c>
      <c r="C284" t="s">
        <v>13</v>
      </c>
      <c r="D284" t="s">
        <v>76</v>
      </c>
      <c r="E284" t="s">
        <v>27</v>
      </c>
      <c r="F284">
        <v>6</v>
      </c>
      <c r="G284">
        <v>7133.01</v>
      </c>
      <c r="H284" s="5">
        <v>0.2</v>
      </c>
      <c r="I284" t="s">
        <v>22</v>
      </c>
      <c r="J284" t="s">
        <v>17</v>
      </c>
      <c r="K284" t="s">
        <v>33</v>
      </c>
      <c r="L284">
        <v>34238.449999999997</v>
      </c>
      <c r="M284" s="2" t="str">
        <f t="shared" si="8"/>
        <v>Apr</v>
      </c>
      <c r="N284" s="2" t="str">
        <f t="shared" si="9"/>
        <v>high</v>
      </c>
      <c r="O284" s="2"/>
    </row>
    <row r="285" spans="1:15">
      <c r="A285" t="s">
        <v>343</v>
      </c>
      <c r="B285" s="1">
        <v>45369</v>
      </c>
      <c r="C285" t="s">
        <v>38</v>
      </c>
      <c r="D285" t="s">
        <v>100</v>
      </c>
      <c r="E285" t="s">
        <v>80</v>
      </c>
      <c r="F285">
        <v>3</v>
      </c>
      <c r="G285">
        <v>1464.22</v>
      </c>
      <c r="H285" s="5">
        <v>0.15</v>
      </c>
      <c r="I285" t="s">
        <v>28</v>
      </c>
      <c r="J285" t="s">
        <v>49</v>
      </c>
      <c r="K285" t="s">
        <v>33</v>
      </c>
      <c r="L285">
        <v>3733.76</v>
      </c>
      <c r="M285" s="2" t="str">
        <f t="shared" si="8"/>
        <v>Mar</v>
      </c>
      <c r="N285" s="2" t="str">
        <f t="shared" si="9"/>
        <v>low</v>
      </c>
      <c r="O285" s="2"/>
    </row>
    <row r="286" spans="1:15">
      <c r="A286" t="s">
        <v>344</v>
      </c>
      <c r="B286" s="1">
        <v>45292</v>
      </c>
      <c r="C286" t="s">
        <v>20</v>
      </c>
      <c r="D286" t="s">
        <v>78</v>
      </c>
      <c r="E286" t="s">
        <v>32</v>
      </c>
      <c r="F286">
        <v>2</v>
      </c>
      <c r="G286">
        <v>964.37</v>
      </c>
      <c r="H286" s="5">
        <v>0.1</v>
      </c>
      <c r="I286" t="s">
        <v>55</v>
      </c>
      <c r="J286" t="s">
        <v>49</v>
      </c>
      <c r="K286" t="s">
        <v>33</v>
      </c>
      <c r="L286">
        <v>1735.87</v>
      </c>
      <c r="M286" s="2" t="str">
        <f t="shared" si="8"/>
        <v>Jan</v>
      </c>
      <c r="N286" s="2" t="str">
        <f t="shared" si="9"/>
        <v>low</v>
      </c>
      <c r="O286" s="2"/>
    </row>
    <row r="287" spans="1:15">
      <c r="A287" t="s">
        <v>345</v>
      </c>
      <c r="B287" s="1">
        <v>45330</v>
      </c>
      <c r="C287" t="s">
        <v>20</v>
      </c>
      <c r="D287" t="s">
        <v>59</v>
      </c>
      <c r="E287" t="s">
        <v>15</v>
      </c>
      <c r="F287">
        <v>5</v>
      </c>
      <c r="G287">
        <v>5048.54</v>
      </c>
      <c r="H287" s="5">
        <v>0.25</v>
      </c>
      <c r="I287" t="s">
        <v>16</v>
      </c>
      <c r="J287" t="s">
        <v>17</v>
      </c>
      <c r="K287" t="s">
        <v>18</v>
      </c>
      <c r="L287">
        <v>18932.03</v>
      </c>
      <c r="M287" s="2" t="str">
        <f t="shared" si="8"/>
        <v>Feb</v>
      </c>
      <c r="N287" s="2" t="str">
        <f t="shared" si="9"/>
        <v>medium</v>
      </c>
      <c r="O287" s="2"/>
    </row>
    <row r="288" spans="1:15">
      <c r="A288" t="s">
        <v>346</v>
      </c>
      <c r="B288" s="1">
        <v>45646</v>
      </c>
      <c r="C288" t="s">
        <v>38</v>
      </c>
      <c r="D288" t="s">
        <v>39</v>
      </c>
      <c r="E288" t="s">
        <v>80</v>
      </c>
      <c r="F288">
        <v>1</v>
      </c>
      <c r="G288">
        <v>597.29</v>
      </c>
      <c r="H288" s="5">
        <v>0</v>
      </c>
      <c r="I288" t="s">
        <v>28</v>
      </c>
      <c r="J288" t="s">
        <v>49</v>
      </c>
      <c r="K288" t="s">
        <v>33</v>
      </c>
      <c r="L288">
        <v>597.29</v>
      </c>
      <c r="M288" s="2" t="str">
        <f t="shared" si="8"/>
        <v>Dec</v>
      </c>
      <c r="N288" s="2" t="str">
        <f t="shared" si="9"/>
        <v>low</v>
      </c>
      <c r="O288" s="2"/>
    </row>
    <row r="289" spans="1:15">
      <c r="A289" t="s">
        <v>347</v>
      </c>
      <c r="B289" s="1">
        <v>45362</v>
      </c>
      <c r="C289" t="s">
        <v>35</v>
      </c>
      <c r="D289" t="s">
        <v>97</v>
      </c>
      <c r="E289" t="s">
        <v>44</v>
      </c>
      <c r="F289">
        <v>1</v>
      </c>
      <c r="G289">
        <v>7630.86</v>
      </c>
      <c r="H289" s="5">
        <v>0.1</v>
      </c>
      <c r="I289" t="s">
        <v>16</v>
      </c>
      <c r="J289" t="s">
        <v>23</v>
      </c>
      <c r="K289" t="s">
        <v>33</v>
      </c>
      <c r="L289">
        <v>6867.77</v>
      </c>
      <c r="M289" s="2" t="str">
        <f t="shared" si="8"/>
        <v>Mar</v>
      </c>
      <c r="N289" s="2" t="str">
        <f t="shared" si="9"/>
        <v>low</v>
      </c>
      <c r="O289" s="2"/>
    </row>
    <row r="290" spans="1:15">
      <c r="A290" t="s">
        <v>348</v>
      </c>
      <c r="B290" s="1">
        <v>45507</v>
      </c>
      <c r="C290" t="s">
        <v>20</v>
      </c>
      <c r="D290" t="s">
        <v>59</v>
      </c>
      <c r="E290" t="s">
        <v>32</v>
      </c>
      <c r="F290">
        <v>5</v>
      </c>
      <c r="G290">
        <v>7828.49</v>
      </c>
      <c r="H290" s="5">
        <v>0</v>
      </c>
      <c r="I290" t="s">
        <v>22</v>
      </c>
      <c r="J290" t="s">
        <v>29</v>
      </c>
      <c r="K290" t="s">
        <v>33</v>
      </c>
      <c r="L290">
        <v>39142.449999999997</v>
      </c>
      <c r="M290" s="2" t="str">
        <f t="shared" si="8"/>
        <v>Aug</v>
      </c>
      <c r="N290" s="2" t="str">
        <f t="shared" si="9"/>
        <v>high</v>
      </c>
      <c r="O290" s="2"/>
    </row>
    <row r="291" spans="1:15">
      <c r="A291" t="s">
        <v>349</v>
      </c>
      <c r="B291" s="1">
        <v>45316</v>
      </c>
      <c r="C291" t="s">
        <v>20</v>
      </c>
      <c r="D291" t="s">
        <v>57</v>
      </c>
      <c r="E291" t="s">
        <v>44</v>
      </c>
      <c r="F291">
        <v>5</v>
      </c>
      <c r="G291">
        <v>2875.87</v>
      </c>
      <c r="H291" s="5">
        <v>0.05</v>
      </c>
      <c r="I291" t="s">
        <v>16</v>
      </c>
      <c r="J291" t="s">
        <v>23</v>
      </c>
      <c r="K291" t="s">
        <v>33</v>
      </c>
      <c r="L291">
        <v>13660.38</v>
      </c>
      <c r="M291" s="2" t="str">
        <f t="shared" si="8"/>
        <v>Jan</v>
      </c>
      <c r="N291" s="2" t="str">
        <f t="shared" si="9"/>
        <v>medium</v>
      </c>
      <c r="O291" s="2"/>
    </row>
    <row r="292" spans="1:15">
      <c r="A292" t="s">
        <v>350</v>
      </c>
      <c r="B292" s="1">
        <v>45488</v>
      </c>
      <c r="C292" t="s">
        <v>35</v>
      </c>
      <c r="D292" t="s">
        <v>36</v>
      </c>
      <c r="E292" t="s">
        <v>27</v>
      </c>
      <c r="F292">
        <v>3</v>
      </c>
      <c r="G292">
        <v>7702.69</v>
      </c>
      <c r="H292" s="5">
        <v>0.05</v>
      </c>
      <c r="I292" t="s">
        <v>16</v>
      </c>
      <c r="J292" t="s">
        <v>17</v>
      </c>
      <c r="K292" t="s">
        <v>33</v>
      </c>
      <c r="L292">
        <v>21952.67</v>
      </c>
      <c r="M292" s="2" t="str">
        <f t="shared" si="8"/>
        <v>Jul</v>
      </c>
      <c r="N292" s="2" t="str">
        <f t="shared" si="9"/>
        <v>high</v>
      </c>
      <c r="O292" s="2"/>
    </row>
    <row r="293" spans="1:15">
      <c r="A293" t="s">
        <v>351</v>
      </c>
      <c r="B293" s="1">
        <v>45493</v>
      </c>
      <c r="C293" t="s">
        <v>35</v>
      </c>
      <c r="D293" t="s">
        <v>97</v>
      </c>
      <c r="E293" t="s">
        <v>80</v>
      </c>
      <c r="F293">
        <v>3</v>
      </c>
      <c r="G293">
        <v>3176.31</v>
      </c>
      <c r="H293" s="5">
        <v>0.25</v>
      </c>
      <c r="I293" t="s">
        <v>16</v>
      </c>
      <c r="J293" t="s">
        <v>17</v>
      </c>
      <c r="K293" t="s">
        <v>33</v>
      </c>
      <c r="L293">
        <v>7146.7</v>
      </c>
      <c r="M293" s="2" t="str">
        <f t="shared" si="8"/>
        <v>Jul</v>
      </c>
      <c r="N293" s="2" t="str">
        <f t="shared" si="9"/>
        <v>low</v>
      </c>
      <c r="O293" s="2"/>
    </row>
    <row r="294" spans="1:15">
      <c r="A294" t="s">
        <v>352</v>
      </c>
      <c r="B294" s="1">
        <v>45434</v>
      </c>
      <c r="C294" t="s">
        <v>13</v>
      </c>
      <c r="D294" t="s">
        <v>76</v>
      </c>
      <c r="E294" t="s">
        <v>47</v>
      </c>
      <c r="F294">
        <v>5</v>
      </c>
      <c r="G294">
        <v>3841.22</v>
      </c>
      <c r="H294" s="5">
        <v>0.2</v>
      </c>
      <c r="I294" t="s">
        <v>16</v>
      </c>
      <c r="J294" t="s">
        <v>29</v>
      </c>
      <c r="K294" t="s">
        <v>18</v>
      </c>
      <c r="L294">
        <v>15364.88</v>
      </c>
      <c r="M294" s="2" t="str">
        <f t="shared" si="8"/>
        <v>May</v>
      </c>
      <c r="N294" s="2" t="str">
        <f t="shared" si="9"/>
        <v>medium</v>
      </c>
      <c r="O294" s="2"/>
    </row>
    <row r="295" spans="1:15">
      <c r="A295" t="s">
        <v>353</v>
      </c>
      <c r="B295" s="1">
        <v>45313</v>
      </c>
      <c r="C295" t="s">
        <v>13</v>
      </c>
      <c r="D295" t="s">
        <v>74</v>
      </c>
      <c r="E295" t="s">
        <v>32</v>
      </c>
      <c r="F295">
        <v>5</v>
      </c>
      <c r="G295">
        <v>6639.17</v>
      </c>
      <c r="H295" s="5">
        <v>0.1</v>
      </c>
      <c r="I295" t="s">
        <v>16</v>
      </c>
      <c r="J295" t="s">
        <v>49</v>
      </c>
      <c r="K295" t="s">
        <v>18</v>
      </c>
      <c r="L295">
        <v>29876.26</v>
      </c>
      <c r="M295" s="2" t="str">
        <f t="shared" si="8"/>
        <v>Jan</v>
      </c>
      <c r="N295" s="2" t="str">
        <f t="shared" si="9"/>
        <v>high</v>
      </c>
      <c r="O295" s="2"/>
    </row>
    <row r="296" spans="1:15">
      <c r="A296" t="s">
        <v>354</v>
      </c>
      <c r="B296" s="1">
        <v>45449</v>
      </c>
      <c r="C296" t="s">
        <v>25</v>
      </c>
      <c r="D296" t="s">
        <v>87</v>
      </c>
      <c r="E296" t="s">
        <v>53</v>
      </c>
      <c r="F296">
        <v>2</v>
      </c>
      <c r="G296">
        <v>5211.46</v>
      </c>
      <c r="H296" s="5">
        <v>0</v>
      </c>
      <c r="I296" t="s">
        <v>55</v>
      </c>
      <c r="J296" t="s">
        <v>17</v>
      </c>
      <c r="K296" t="s">
        <v>33</v>
      </c>
      <c r="L296">
        <v>10422.92</v>
      </c>
      <c r="M296" s="2" t="str">
        <f t="shared" si="8"/>
        <v>Jun</v>
      </c>
      <c r="N296" s="2" t="str">
        <f t="shared" si="9"/>
        <v>medium</v>
      </c>
      <c r="O296" s="2"/>
    </row>
    <row r="297" spans="1:15">
      <c r="A297" t="s">
        <v>355</v>
      </c>
      <c r="B297" s="1">
        <v>45656</v>
      </c>
      <c r="C297" t="s">
        <v>13</v>
      </c>
      <c r="D297" t="s">
        <v>108</v>
      </c>
      <c r="E297" t="s">
        <v>47</v>
      </c>
      <c r="F297">
        <v>2</v>
      </c>
      <c r="G297">
        <v>4324.57</v>
      </c>
      <c r="H297" s="5">
        <v>0.2</v>
      </c>
      <c r="I297" t="s">
        <v>22</v>
      </c>
      <c r="J297" t="s">
        <v>17</v>
      </c>
      <c r="K297" t="s">
        <v>18</v>
      </c>
      <c r="L297">
        <v>6919.31</v>
      </c>
      <c r="M297" s="2" t="str">
        <f t="shared" si="8"/>
        <v>Dec</v>
      </c>
      <c r="N297" s="2" t="str">
        <f t="shared" si="9"/>
        <v>low</v>
      </c>
      <c r="O297" s="2"/>
    </row>
    <row r="298" spans="1:15">
      <c r="A298" t="s">
        <v>356</v>
      </c>
      <c r="B298" s="1">
        <v>45587</v>
      </c>
      <c r="C298" t="s">
        <v>25</v>
      </c>
      <c r="D298" t="s">
        <v>31</v>
      </c>
      <c r="E298" t="s">
        <v>1160</v>
      </c>
      <c r="F298">
        <v>4</v>
      </c>
      <c r="G298">
        <v>3318.89</v>
      </c>
      <c r="H298" s="5">
        <v>0.1</v>
      </c>
      <c r="I298" t="s">
        <v>22</v>
      </c>
      <c r="J298" t="s">
        <v>23</v>
      </c>
      <c r="K298" t="s">
        <v>18</v>
      </c>
      <c r="L298">
        <v>11948</v>
      </c>
      <c r="M298" s="2" t="str">
        <f t="shared" si="8"/>
        <v>Oct</v>
      </c>
      <c r="N298" s="2" t="str">
        <f t="shared" si="9"/>
        <v>medium</v>
      </c>
      <c r="O298" s="2"/>
    </row>
    <row r="299" spans="1:15">
      <c r="A299" t="s">
        <v>357</v>
      </c>
      <c r="B299" s="1">
        <v>45439</v>
      </c>
      <c r="C299" t="s">
        <v>13</v>
      </c>
      <c r="D299" t="s">
        <v>76</v>
      </c>
      <c r="E299" t="s">
        <v>15</v>
      </c>
      <c r="F299">
        <v>2</v>
      </c>
      <c r="G299">
        <v>5232.5200000000004</v>
      </c>
      <c r="H299" s="5">
        <v>0.2</v>
      </c>
      <c r="I299" t="s">
        <v>28</v>
      </c>
      <c r="J299" t="s">
        <v>49</v>
      </c>
      <c r="K299" t="s">
        <v>33</v>
      </c>
      <c r="L299">
        <v>8372.0300000000007</v>
      </c>
      <c r="M299" s="2" t="str">
        <f t="shared" si="8"/>
        <v>May</v>
      </c>
      <c r="N299" s="2" t="str">
        <f t="shared" si="9"/>
        <v>low</v>
      </c>
      <c r="O299" s="2"/>
    </row>
    <row r="300" spans="1:15">
      <c r="A300" t="s">
        <v>358</v>
      </c>
      <c r="B300" s="1">
        <v>45450</v>
      </c>
      <c r="C300" t="s">
        <v>25</v>
      </c>
      <c r="D300" t="s">
        <v>26</v>
      </c>
      <c r="E300" t="s">
        <v>1160</v>
      </c>
      <c r="F300">
        <v>1</v>
      </c>
      <c r="G300">
        <v>2973.97</v>
      </c>
      <c r="H300" s="5">
        <v>0</v>
      </c>
      <c r="I300" t="s">
        <v>16</v>
      </c>
      <c r="J300" t="s">
        <v>23</v>
      </c>
      <c r="K300" t="s">
        <v>18</v>
      </c>
      <c r="L300">
        <v>2973.97</v>
      </c>
      <c r="M300" s="2" t="str">
        <f t="shared" si="8"/>
        <v>Jun</v>
      </c>
      <c r="N300" s="2" t="str">
        <f t="shared" si="9"/>
        <v>low</v>
      </c>
      <c r="O300" s="2"/>
    </row>
    <row r="301" spans="1:15">
      <c r="A301" t="s">
        <v>359</v>
      </c>
      <c r="B301" s="1">
        <v>45432</v>
      </c>
      <c r="C301" t="s">
        <v>38</v>
      </c>
      <c r="D301" t="s">
        <v>164</v>
      </c>
      <c r="E301" t="s">
        <v>44</v>
      </c>
      <c r="F301">
        <v>5</v>
      </c>
      <c r="G301">
        <v>613.94000000000005</v>
      </c>
      <c r="H301" s="5">
        <v>0.25</v>
      </c>
      <c r="I301" t="s">
        <v>28</v>
      </c>
      <c r="J301" t="s">
        <v>40</v>
      </c>
      <c r="K301" t="s">
        <v>33</v>
      </c>
      <c r="L301">
        <v>2302.2800000000002</v>
      </c>
      <c r="M301" s="2" t="str">
        <f t="shared" si="8"/>
        <v>May</v>
      </c>
      <c r="N301" s="2" t="str">
        <f t="shared" si="9"/>
        <v>low</v>
      </c>
      <c r="O301" s="2"/>
    </row>
    <row r="302" spans="1:15">
      <c r="A302" t="s">
        <v>360</v>
      </c>
      <c r="B302" s="1">
        <v>45461</v>
      </c>
      <c r="C302" t="s">
        <v>20</v>
      </c>
      <c r="D302" t="s">
        <v>59</v>
      </c>
      <c r="E302" t="s">
        <v>80</v>
      </c>
      <c r="F302">
        <v>5</v>
      </c>
      <c r="G302">
        <v>4612.3500000000004</v>
      </c>
      <c r="H302" s="5">
        <v>0.1</v>
      </c>
      <c r="I302" t="s">
        <v>28</v>
      </c>
      <c r="J302" t="s">
        <v>49</v>
      </c>
      <c r="K302" t="s">
        <v>18</v>
      </c>
      <c r="L302">
        <v>20755.580000000002</v>
      </c>
      <c r="M302" s="2" t="str">
        <f t="shared" si="8"/>
        <v>Jun</v>
      </c>
      <c r="N302" s="2" t="str">
        <f t="shared" si="9"/>
        <v>high</v>
      </c>
      <c r="O302" s="2"/>
    </row>
    <row r="303" spans="1:15">
      <c r="A303" t="s">
        <v>361</v>
      </c>
      <c r="B303" s="1">
        <v>45550</v>
      </c>
      <c r="C303" t="s">
        <v>20</v>
      </c>
      <c r="D303" t="s">
        <v>61</v>
      </c>
      <c r="E303" t="s">
        <v>32</v>
      </c>
      <c r="F303">
        <v>3</v>
      </c>
      <c r="G303">
        <v>3477.71</v>
      </c>
      <c r="H303" s="5">
        <v>0</v>
      </c>
      <c r="I303" t="s">
        <v>22</v>
      </c>
      <c r="J303" t="s">
        <v>49</v>
      </c>
      <c r="K303" t="s">
        <v>33</v>
      </c>
      <c r="L303">
        <v>10433.129999999999</v>
      </c>
      <c r="M303" s="2" t="str">
        <f t="shared" si="8"/>
        <v>Sep</v>
      </c>
      <c r="N303" s="2" t="str">
        <f t="shared" si="9"/>
        <v>medium</v>
      </c>
      <c r="O303" s="2"/>
    </row>
    <row r="304" spans="1:15">
      <c r="A304" t="s">
        <v>362</v>
      </c>
      <c r="B304" s="1">
        <v>45564</v>
      </c>
      <c r="C304" t="s">
        <v>20</v>
      </c>
      <c r="D304" t="s">
        <v>21</v>
      </c>
      <c r="E304" t="s">
        <v>80</v>
      </c>
      <c r="F304">
        <v>3</v>
      </c>
      <c r="G304">
        <v>5313.93</v>
      </c>
      <c r="H304" s="5">
        <v>0.1</v>
      </c>
      <c r="I304" t="s">
        <v>16</v>
      </c>
      <c r="J304" t="s">
        <v>49</v>
      </c>
      <c r="K304" t="s">
        <v>33</v>
      </c>
      <c r="L304">
        <v>14347.61</v>
      </c>
      <c r="M304" s="2" t="str">
        <f t="shared" si="8"/>
        <v>Sep</v>
      </c>
      <c r="N304" s="2" t="str">
        <f t="shared" si="9"/>
        <v>medium</v>
      </c>
      <c r="O304" s="2"/>
    </row>
    <row r="305" spans="1:15">
      <c r="A305" t="s">
        <v>363</v>
      </c>
      <c r="B305" s="1">
        <v>45349</v>
      </c>
      <c r="C305" t="s">
        <v>20</v>
      </c>
      <c r="D305" t="s">
        <v>59</v>
      </c>
      <c r="E305" t="s">
        <v>1160</v>
      </c>
      <c r="F305">
        <v>4</v>
      </c>
      <c r="G305">
        <v>1449.71</v>
      </c>
      <c r="H305" s="5">
        <v>0.1</v>
      </c>
      <c r="I305" t="s">
        <v>16</v>
      </c>
      <c r="J305" t="s">
        <v>23</v>
      </c>
      <c r="K305" t="s">
        <v>33</v>
      </c>
      <c r="L305">
        <v>5218.96</v>
      </c>
      <c r="M305" s="2" t="str">
        <f t="shared" si="8"/>
        <v>Feb</v>
      </c>
      <c r="N305" s="2" t="str">
        <f t="shared" si="9"/>
        <v>low</v>
      </c>
      <c r="O305" s="2"/>
    </row>
    <row r="306" spans="1:15">
      <c r="A306" t="s">
        <v>364</v>
      </c>
      <c r="B306" s="1">
        <v>45303</v>
      </c>
      <c r="C306" t="s">
        <v>20</v>
      </c>
      <c r="D306" t="s">
        <v>57</v>
      </c>
      <c r="E306" t="s">
        <v>27</v>
      </c>
      <c r="F306">
        <v>6</v>
      </c>
      <c r="G306">
        <v>5821.88</v>
      </c>
      <c r="H306" s="5">
        <v>0</v>
      </c>
      <c r="I306" t="s">
        <v>16</v>
      </c>
      <c r="J306" t="s">
        <v>49</v>
      </c>
      <c r="K306" t="s">
        <v>33</v>
      </c>
      <c r="L306">
        <v>34931.279999999999</v>
      </c>
      <c r="M306" s="2" t="str">
        <f t="shared" si="8"/>
        <v>Jan</v>
      </c>
      <c r="N306" s="2" t="str">
        <f t="shared" si="9"/>
        <v>high</v>
      </c>
      <c r="O306" s="2"/>
    </row>
    <row r="307" spans="1:15">
      <c r="A307" t="s">
        <v>365</v>
      </c>
      <c r="B307" s="1">
        <v>45581</v>
      </c>
      <c r="C307" t="s">
        <v>25</v>
      </c>
      <c r="D307" t="s">
        <v>46</v>
      </c>
      <c r="E307" t="s">
        <v>47</v>
      </c>
      <c r="F307">
        <v>6</v>
      </c>
      <c r="G307">
        <v>2628.08</v>
      </c>
      <c r="H307" s="5">
        <v>0.15</v>
      </c>
      <c r="I307" t="s">
        <v>16</v>
      </c>
      <c r="J307" t="s">
        <v>40</v>
      </c>
      <c r="K307" t="s">
        <v>33</v>
      </c>
      <c r="L307">
        <v>13403.21</v>
      </c>
      <c r="M307" s="2" t="str">
        <f t="shared" si="8"/>
        <v>Oct</v>
      </c>
      <c r="N307" s="2" t="str">
        <f t="shared" si="9"/>
        <v>medium</v>
      </c>
      <c r="O307" s="2"/>
    </row>
    <row r="308" spans="1:15">
      <c r="A308" t="s">
        <v>366</v>
      </c>
      <c r="B308" s="1">
        <v>45370</v>
      </c>
      <c r="C308" t="s">
        <v>35</v>
      </c>
      <c r="D308" t="s">
        <v>97</v>
      </c>
      <c r="E308" t="s">
        <v>53</v>
      </c>
      <c r="F308">
        <v>3</v>
      </c>
      <c r="G308">
        <v>6253.14</v>
      </c>
      <c r="H308" s="5">
        <v>0.25</v>
      </c>
      <c r="I308" t="s">
        <v>55</v>
      </c>
      <c r="J308" t="s">
        <v>23</v>
      </c>
      <c r="K308" t="s">
        <v>18</v>
      </c>
      <c r="L308">
        <v>14069.57</v>
      </c>
      <c r="M308" s="2" t="str">
        <f t="shared" si="8"/>
        <v>Mar</v>
      </c>
      <c r="N308" s="2" t="str">
        <f t="shared" si="9"/>
        <v>medium</v>
      </c>
      <c r="O308" s="2"/>
    </row>
    <row r="309" spans="1:15">
      <c r="A309" t="s">
        <v>367</v>
      </c>
      <c r="B309" s="1">
        <v>45552</v>
      </c>
      <c r="C309" t="s">
        <v>25</v>
      </c>
      <c r="D309" t="s">
        <v>94</v>
      </c>
      <c r="E309" t="s">
        <v>27</v>
      </c>
      <c r="F309">
        <v>4</v>
      </c>
      <c r="G309">
        <v>1792.92</v>
      </c>
      <c r="H309" s="5">
        <v>0.1</v>
      </c>
      <c r="I309" t="s">
        <v>22</v>
      </c>
      <c r="J309" t="s">
        <v>49</v>
      </c>
      <c r="K309" t="s">
        <v>33</v>
      </c>
      <c r="L309">
        <v>6454.51</v>
      </c>
      <c r="M309" s="2" t="str">
        <f t="shared" si="8"/>
        <v>Sep</v>
      </c>
      <c r="N309" s="2" t="str">
        <f t="shared" si="9"/>
        <v>low</v>
      </c>
      <c r="O309" s="2"/>
    </row>
    <row r="310" spans="1:15">
      <c r="A310" t="s">
        <v>368</v>
      </c>
      <c r="B310" s="1">
        <v>45360</v>
      </c>
      <c r="C310" t="s">
        <v>38</v>
      </c>
      <c r="D310" t="s">
        <v>164</v>
      </c>
      <c r="E310" t="s">
        <v>15</v>
      </c>
      <c r="F310">
        <v>2</v>
      </c>
      <c r="G310">
        <v>251.07</v>
      </c>
      <c r="H310" s="5">
        <v>0.1</v>
      </c>
      <c r="I310" t="s">
        <v>22</v>
      </c>
      <c r="J310" t="s">
        <v>40</v>
      </c>
      <c r="K310" t="s">
        <v>33</v>
      </c>
      <c r="L310">
        <v>451.93</v>
      </c>
      <c r="M310" s="2" t="str">
        <f t="shared" si="8"/>
        <v>Mar</v>
      </c>
      <c r="N310" s="2" t="str">
        <f t="shared" si="9"/>
        <v>low</v>
      </c>
      <c r="O310" s="2"/>
    </row>
    <row r="311" spans="1:15">
      <c r="A311" t="s">
        <v>369</v>
      </c>
      <c r="B311" s="1">
        <v>45457</v>
      </c>
      <c r="C311" t="s">
        <v>35</v>
      </c>
      <c r="D311" t="s">
        <v>63</v>
      </c>
      <c r="E311" t="s">
        <v>53</v>
      </c>
      <c r="F311">
        <v>3</v>
      </c>
      <c r="G311">
        <v>5052.96</v>
      </c>
      <c r="H311" s="5">
        <v>0.25</v>
      </c>
      <c r="I311" t="s">
        <v>55</v>
      </c>
      <c r="J311" t="s">
        <v>29</v>
      </c>
      <c r="K311" t="s">
        <v>33</v>
      </c>
      <c r="L311">
        <v>11369.16</v>
      </c>
      <c r="M311" s="2" t="str">
        <f t="shared" si="8"/>
        <v>Jun</v>
      </c>
      <c r="N311" s="2" t="str">
        <f t="shared" si="9"/>
        <v>medium</v>
      </c>
      <c r="O311" s="2"/>
    </row>
    <row r="312" spans="1:15">
      <c r="A312" t="s">
        <v>370</v>
      </c>
      <c r="B312" s="1">
        <v>45394</v>
      </c>
      <c r="C312" t="s">
        <v>35</v>
      </c>
      <c r="D312" t="s">
        <v>68</v>
      </c>
      <c r="E312" t="s">
        <v>47</v>
      </c>
      <c r="F312">
        <v>4</v>
      </c>
      <c r="G312">
        <v>3732.8</v>
      </c>
      <c r="H312" s="5">
        <v>0.25</v>
      </c>
      <c r="I312" t="s">
        <v>16</v>
      </c>
      <c r="J312" t="s">
        <v>23</v>
      </c>
      <c r="K312" t="s">
        <v>33</v>
      </c>
      <c r="L312">
        <v>11198.4</v>
      </c>
      <c r="M312" s="2" t="str">
        <f t="shared" si="8"/>
        <v>Apr</v>
      </c>
      <c r="N312" s="2" t="str">
        <f t="shared" si="9"/>
        <v>medium</v>
      </c>
      <c r="O312" s="2"/>
    </row>
    <row r="313" spans="1:15">
      <c r="A313" t="s">
        <v>371</v>
      </c>
      <c r="B313" s="1">
        <v>45352</v>
      </c>
      <c r="C313" t="s">
        <v>38</v>
      </c>
      <c r="D313" t="s">
        <v>51</v>
      </c>
      <c r="E313" t="s">
        <v>47</v>
      </c>
      <c r="F313">
        <v>4</v>
      </c>
      <c r="G313">
        <v>4852.71</v>
      </c>
      <c r="H313" s="5">
        <v>0</v>
      </c>
      <c r="I313" t="s">
        <v>22</v>
      </c>
      <c r="J313" t="s">
        <v>23</v>
      </c>
      <c r="K313" t="s">
        <v>18</v>
      </c>
      <c r="L313">
        <v>19410.84</v>
      </c>
      <c r="M313" s="2" t="str">
        <f t="shared" si="8"/>
        <v>Mar</v>
      </c>
      <c r="N313" s="2" t="str">
        <f t="shared" si="9"/>
        <v>medium</v>
      </c>
      <c r="O313" s="2"/>
    </row>
    <row r="314" spans="1:15">
      <c r="A314" t="s">
        <v>372</v>
      </c>
      <c r="B314" s="1">
        <v>45292</v>
      </c>
      <c r="C314" t="s">
        <v>20</v>
      </c>
      <c r="D314" t="s">
        <v>21</v>
      </c>
      <c r="E314" t="s">
        <v>1160</v>
      </c>
      <c r="F314">
        <v>1</v>
      </c>
      <c r="G314">
        <v>3812.29</v>
      </c>
      <c r="H314" s="5">
        <v>0.2</v>
      </c>
      <c r="I314" t="s">
        <v>16</v>
      </c>
      <c r="J314" t="s">
        <v>49</v>
      </c>
      <c r="K314" t="s">
        <v>33</v>
      </c>
      <c r="L314">
        <v>3049.83</v>
      </c>
      <c r="M314" s="2" t="str">
        <f t="shared" si="8"/>
        <v>Jan</v>
      </c>
      <c r="N314" s="2" t="str">
        <f t="shared" si="9"/>
        <v>low</v>
      </c>
      <c r="O314" s="2"/>
    </row>
    <row r="315" spans="1:15">
      <c r="A315" t="s">
        <v>373</v>
      </c>
      <c r="B315" s="1">
        <v>45531</v>
      </c>
      <c r="C315" t="s">
        <v>13</v>
      </c>
      <c r="D315" t="s">
        <v>76</v>
      </c>
      <c r="E315" t="s">
        <v>47</v>
      </c>
      <c r="F315">
        <v>1</v>
      </c>
      <c r="G315">
        <v>3908.95</v>
      </c>
      <c r="H315" s="5">
        <v>0</v>
      </c>
      <c r="I315" t="s">
        <v>22</v>
      </c>
      <c r="J315" t="s">
        <v>29</v>
      </c>
      <c r="K315" t="s">
        <v>18</v>
      </c>
      <c r="L315">
        <v>3908.95</v>
      </c>
      <c r="M315" s="2" t="str">
        <f t="shared" si="8"/>
        <v>Aug</v>
      </c>
      <c r="N315" s="2" t="str">
        <f t="shared" si="9"/>
        <v>low</v>
      </c>
      <c r="O315" s="2"/>
    </row>
    <row r="316" spans="1:15">
      <c r="A316" t="s">
        <v>374</v>
      </c>
      <c r="B316" s="1">
        <v>45328</v>
      </c>
      <c r="C316" t="s">
        <v>25</v>
      </c>
      <c r="D316" t="s">
        <v>87</v>
      </c>
      <c r="E316" t="s">
        <v>32</v>
      </c>
      <c r="F316">
        <v>1</v>
      </c>
      <c r="G316">
        <v>4513.7700000000004</v>
      </c>
      <c r="H316" s="5">
        <v>0</v>
      </c>
      <c r="I316" t="s">
        <v>28</v>
      </c>
      <c r="J316" t="s">
        <v>40</v>
      </c>
      <c r="K316" t="s">
        <v>33</v>
      </c>
      <c r="L316">
        <v>4513.7700000000004</v>
      </c>
      <c r="M316" s="2" t="str">
        <f t="shared" si="8"/>
        <v>Feb</v>
      </c>
      <c r="N316" s="2" t="str">
        <f t="shared" si="9"/>
        <v>low</v>
      </c>
      <c r="O316" s="2"/>
    </row>
    <row r="317" spans="1:15">
      <c r="A317" t="s">
        <v>375</v>
      </c>
      <c r="B317" s="1">
        <v>45578</v>
      </c>
      <c r="C317" t="s">
        <v>38</v>
      </c>
      <c r="D317" t="s">
        <v>39</v>
      </c>
      <c r="E317" t="s">
        <v>32</v>
      </c>
      <c r="F317">
        <v>6</v>
      </c>
      <c r="G317">
        <v>1786.99</v>
      </c>
      <c r="H317" s="5">
        <v>0.05</v>
      </c>
      <c r="I317" t="s">
        <v>28</v>
      </c>
      <c r="J317" t="s">
        <v>23</v>
      </c>
      <c r="K317" t="s">
        <v>33</v>
      </c>
      <c r="L317">
        <v>10185.84</v>
      </c>
      <c r="M317" s="2" t="str">
        <f t="shared" si="8"/>
        <v>Oct</v>
      </c>
      <c r="N317" s="2" t="str">
        <f t="shared" si="9"/>
        <v>medium</v>
      </c>
      <c r="O317" s="2"/>
    </row>
    <row r="318" spans="1:15">
      <c r="A318" t="s">
        <v>376</v>
      </c>
      <c r="B318" s="1">
        <v>45571</v>
      </c>
      <c r="C318" t="s">
        <v>35</v>
      </c>
      <c r="D318" t="s">
        <v>36</v>
      </c>
      <c r="E318" t="s">
        <v>53</v>
      </c>
      <c r="F318">
        <v>5</v>
      </c>
      <c r="G318">
        <v>2917.34</v>
      </c>
      <c r="H318" s="5">
        <v>0</v>
      </c>
      <c r="I318" t="s">
        <v>16</v>
      </c>
      <c r="J318" t="s">
        <v>29</v>
      </c>
      <c r="K318" t="s">
        <v>33</v>
      </c>
      <c r="L318">
        <v>14586.7</v>
      </c>
      <c r="M318" s="2" t="str">
        <f t="shared" si="8"/>
        <v>Oct</v>
      </c>
      <c r="N318" s="2" t="str">
        <f t="shared" si="9"/>
        <v>medium</v>
      </c>
      <c r="O318" s="2"/>
    </row>
    <row r="319" spans="1:15">
      <c r="A319" t="s">
        <v>377</v>
      </c>
      <c r="B319" s="1">
        <v>45367</v>
      </c>
      <c r="C319" t="s">
        <v>13</v>
      </c>
      <c r="D319" t="s">
        <v>108</v>
      </c>
      <c r="E319" t="s">
        <v>27</v>
      </c>
      <c r="F319">
        <v>4</v>
      </c>
      <c r="G319">
        <v>4910.45</v>
      </c>
      <c r="H319" s="5">
        <v>0.15</v>
      </c>
      <c r="I319" t="s">
        <v>16</v>
      </c>
      <c r="J319" t="s">
        <v>49</v>
      </c>
      <c r="K319" t="s">
        <v>33</v>
      </c>
      <c r="L319">
        <v>16695.53</v>
      </c>
      <c r="M319" s="2" t="str">
        <f t="shared" si="8"/>
        <v>Mar</v>
      </c>
      <c r="N319" s="2" t="str">
        <f t="shared" si="9"/>
        <v>medium</v>
      </c>
      <c r="O319" s="2"/>
    </row>
    <row r="320" spans="1:15">
      <c r="A320" t="s">
        <v>378</v>
      </c>
      <c r="B320" s="1">
        <v>45500</v>
      </c>
      <c r="C320" t="s">
        <v>25</v>
      </c>
      <c r="D320" t="s">
        <v>87</v>
      </c>
      <c r="E320" t="s">
        <v>44</v>
      </c>
      <c r="F320">
        <v>5</v>
      </c>
      <c r="G320">
        <v>4659.92</v>
      </c>
      <c r="H320" s="5">
        <v>0.1</v>
      </c>
      <c r="I320" t="s">
        <v>22</v>
      </c>
      <c r="J320" t="s">
        <v>40</v>
      </c>
      <c r="K320" t="s">
        <v>33</v>
      </c>
      <c r="L320">
        <v>20969.64</v>
      </c>
      <c r="M320" s="2" t="str">
        <f t="shared" si="8"/>
        <v>Jul</v>
      </c>
      <c r="N320" s="2" t="str">
        <f t="shared" si="9"/>
        <v>high</v>
      </c>
      <c r="O320" s="2"/>
    </row>
    <row r="321" spans="1:15">
      <c r="A321" t="s">
        <v>379</v>
      </c>
      <c r="B321" s="1">
        <v>45608</v>
      </c>
      <c r="C321" t="s">
        <v>38</v>
      </c>
      <c r="D321" t="s">
        <v>42</v>
      </c>
      <c r="E321" t="s">
        <v>47</v>
      </c>
      <c r="F321">
        <v>3</v>
      </c>
      <c r="G321">
        <v>3617.65</v>
      </c>
      <c r="H321" s="5">
        <v>0.05</v>
      </c>
      <c r="I321" t="s">
        <v>16</v>
      </c>
      <c r="J321" t="s">
        <v>23</v>
      </c>
      <c r="K321" t="s">
        <v>33</v>
      </c>
      <c r="L321">
        <v>10310.299999999999</v>
      </c>
      <c r="M321" s="2" t="str">
        <f t="shared" si="8"/>
        <v>Nov</v>
      </c>
      <c r="N321" s="2" t="str">
        <f t="shared" si="9"/>
        <v>medium</v>
      </c>
      <c r="O321" s="2"/>
    </row>
    <row r="322" spans="1:15">
      <c r="A322" t="s">
        <v>380</v>
      </c>
      <c r="B322" s="1">
        <v>45432</v>
      </c>
      <c r="C322" t="s">
        <v>20</v>
      </c>
      <c r="D322" t="s">
        <v>78</v>
      </c>
      <c r="E322" t="s">
        <v>80</v>
      </c>
      <c r="F322">
        <v>2</v>
      </c>
      <c r="G322">
        <v>253.31</v>
      </c>
      <c r="H322" s="5">
        <v>0</v>
      </c>
      <c r="I322" t="s">
        <v>16</v>
      </c>
      <c r="J322" t="s">
        <v>23</v>
      </c>
      <c r="K322" t="s">
        <v>33</v>
      </c>
      <c r="L322">
        <v>506.62</v>
      </c>
      <c r="M322" s="2" t="str">
        <f t="shared" ref="M322:M385" si="10">TEXT(B322,"mmm")</f>
        <v>May</v>
      </c>
      <c r="N322" s="2" t="str">
        <f t="shared" ref="N322:N385" si="11">IF(L322&gt;20000,"high",IF(L322&gt;10000,"medium","low"))</f>
        <v>low</v>
      </c>
      <c r="O322" s="2"/>
    </row>
    <row r="323" spans="1:15">
      <c r="A323" t="s">
        <v>381</v>
      </c>
      <c r="B323" s="1">
        <v>45345</v>
      </c>
      <c r="C323" t="s">
        <v>35</v>
      </c>
      <c r="D323" t="s">
        <v>36</v>
      </c>
      <c r="E323" t="s">
        <v>47</v>
      </c>
      <c r="F323">
        <v>1</v>
      </c>
      <c r="G323">
        <v>6629.72</v>
      </c>
      <c r="H323" s="5">
        <v>0.15</v>
      </c>
      <c r="I323" t="s">
        <v>55</v>
      </c>
      <c r="J323" t="s">
        <v>23</v>
      </c>
      <c r="K323" t="s">
        <v>33</v>
      </c>
      <c r="L323">
        <v>5635.26</v>
      </c>
      <c r="M323" s="2" t="str">
        <f t="shared" si="10"/>
        <v>Feb</v>
      </c>
      <c r="N323" s="2" t="str">
        <f t="shared" si="11"/>
        <v>low</v>
      </c>
      <c r="O323" s="2"/>
    </row>
    <row r="324" spans="1:15">
      <c r="A324" t="s">
        <v>382</v>
      </c>
      <c r="B324" s="1">
        <v>45500</v>
      </c>
      <c r="C324" t="s">
        <v>25</v>
      </c>
      <c r="D324" t="s">
        <v>31</v>
      </c>
      <c r="E324" t="s">
        <v>1160</v>
      </c>
      <c r="F324">
        <v>5</v>
      </c>
      <c r="G324">
        <v>5564.9</v>
      </c>
      <c r="H324" s="5">
        <v>0</v>
      </c>
      <c r="I324" t="s">
        <v>22</v>
      </c>
      <c r="J324" t="s">
        <v>29</v>
      </c>
      <c r="K324" t="s">
        <v>33</v>
      </c>
      <c r="L324">
        <f>(F324*G324)-(F324*G324)*H324</f>
        <v>27824.5</v>
      </c>
      <c r="M324" s="2" t="str">
        <f t="shared" si="10"/>
        <v>Jul</v>
      </c>
      <c r="N324" s="2" t="str">
        <f t="shared" si="11"/>
        <v>high</v>
      </c>
      <c r="O324" s="2"/>
    </row>
    <row r="325" spans="1:15">
      <c r="A325" t="s">
        <v>383</v>
      </c>
      <c r="B325" s="1">
        <v>45606</v>
      </c>
      <c r="C325" t="s">
        <v>35</v>
      </c>
      <c r="D325" t="s">
        <v>63</v>
      </c>
      <c r="E325" t="s">
        <v>44</v>
      </c>
      <c r="F325">
        <v>6</v>
      </c>
      <c r="G325">
        <v>1456.5</v>
      </c>
      <c r="H325" s="5">
        <v>0.1</v>
      </c>
      <c r="I325" t="s">
        <v>55</v>
      </c>
      <c r="J325" t="s">
        <v>23</v>
      </c>
      <c r="K325" t="s">
        <v>33</v>
      </c>
      <c r="L325">
        <v>7865.1</v>
      </c>
      <c r="M325" s="2" t="str">
        <f t="shared" si="10"/>
        <v>Nov</v>
      </c>
      <c r="N325" s="2" t="str">
        <f t="shared" si="11"/>
        <v>low</v>
      </c>
      <c r="O325" s="2"/>
    </row>
    <row r="326" spans="1:15">
      <c r="A326" t="s">
        <v>384</v>
      </c>
      <c r="B326" s="1">
        <v>45627</v>
      </c>
      <c r="C326" t="s">
        <v>25</v>
      </c>
      <c r="D326" t="s">
        <v>94</v>
      </c>
      <c r="E326" t="s">
        <v>47</v>
      </c>
      <c r="F326">
        <v>1</v>
      </c>
      <c r="G326">
        <v>4843.1899999999996</v>
      </c>
      <c r="H326" s="5">
        <v>0.2</v>
      </c>
      <c r="I326" t="s">
        <v>16</v>
      </c>
      <c r="J326" t="s">
        <v>40</v>
      </c>
      <c r="K326" t="s">
        <v>33</v>
      </c>
      <c r="L326">
        <v>3874.55</v>
      </c>
      <c r="M326" s="2" t="str">
        <f t="shared" si="10"/>
        <v>Dec</v>
      </c>
      <c r="N326" s="2" t="str">
        <f t="shared" si="11"/>
        <v>low</v>
      </c>
      <c r="O326" s="2"/>
    </row>
    <row r="327" spans="1:15">
      <c r="A327" t="s">
        <v>385</v>
      </c>
      <c r="B327" s="1">
        <v>45623</v>
      </c>
      <c r="C327" t="s">
        <v>25</v>
      </c>
      <c r="D327" t="s">
        <v>31</v>
      </c>
      <c r="E327" t="s">
        <v>44</v>
      </c>
      <c r="F327">
        <v>5</v>
      </c>
      <c r="G327">
        <v>5547.18</v>
      </c>
      <c r="H327" s="5">
        <v>0.1</v>
      </c>
      <c r="I327" t="s">
        <v>55</v>
      </c>
      <c r="J327" t="s">
        <v>23</v>
      </c>
      <c r="K327" t="s">
        <v>33</v>
      </c>
      <c r="L327">
        <v>24962.31</v>
      </c>
      <c r="M327" s="2" t="str">
        <f t="shared" si="10"/>
        <v>Nov</v>
      </c>
      <c r="N327" s="2" t="str">
        <f t="shared" si="11"/>
        <v>high</v>
      </c>
      <c r="O327" s="2"/>
    </row>
    <row r="328" spans="1:15">
      <c r="A328" t="s">
        <v>386</v>
      </c>
      <c r="B328" s="1">
        <v>45457</v>
      </c>
      <c r="C328" t="s">
        <v>35</v>
      </c>
      <c r="D328" t="s">
        <v>65</v>
      </c>
      <c r="E328" t="s">
        <v>80</v>
      </c>
      <c r="F328">
        <v>2</v>
      </c>
      <c r="G328">
        <v>390.97</v>
      </c>
      <c r="H328" s="5">
        <v>0.1</v>
      </c>
      <c r="I328" t="s">
        <v>16</v>
      </c>
      <c r="J328" t="s">
        <v>40</v>
      </c>
      <c r="K328" t="s">
        <v>33</v>
      </c>
      <c r="L328">
        <v>703.75</v>
      </c>
      <c r="M328" s="2" t="str">
        <f t="shared" si="10"/>
        <v>Jun</v>
      </c>
      <c r="N328" s="2" t="str">
        <f t="shared" si="11"/>
        <v>low</v>
      </c>
      <c r="O328" s="2"/>
    </row>
    <row r="329" spans="1:15">
      <c r="A329" t="s">
        <v>387</v>
      </c>
      <c r="B329" s="1">
        <v>45629</v>
      </c>
      <c r="C329" t="s">
        <v>35</v>
      </c>
      <c r="D329" t="s">
        <v>68</v>
      </c>
      <c r="E329" t="s">
        <v>47</v>
      </c>
      <c r="F329">
        <v>6</v>
      </c>
      <c r="G329">
        <v>4757.8100000000004</v>
      </c>
      <c r="H329" s="5">
        <v>0.1</v>
      </c>
      <c r="I329" t="s">
        <v>16</v>
      </c>
      <c r="J329" t="s">
        <v>29</v>
      </c>
      <c r="K329" t="s">
        <v>18</v>
      </c>
      <c r="L329">
        <v>25692.17</v>
      </c>
      <c r="M329" s="2" t="str">
        <f t="shared" si="10"/>
        <v>Dec</v>
      </c>
      <c r="N329" s="2" t="str">
        <f t="shared" si="11"/>
        <v>high</v>
      </c>
      <c r="O329" s="2"/>
    </row>
    <row r="330" spans="1:15">
      <c r="A330" t="s">
        <v>388</v>
      </c>
      <c r="B330" s="1">
        <v>45323</v>
      </c>
      <c r="C330" t="s">
        <v>25</v>
      </c>
      <c r="D330" t="s">
        <v>94</v>
      </c>
      <c r="E330" t="s">
        <v>1160</v>
      </c>
      <c r="F330">
        <v>1</v>
      </c>
      <c r="G330">
        <v>2472.6999999999998</v>
      </c>
      <c r="H330" s="5">
        <v>0.1</v>
      </c>
      <c r="I330" t="s">
        <v>16</v>
      </c>
      <c r="J330" t="s">
        <v>29</v>
      </c>
      <c r="K330" t="s">
        <v>33</v>
      </c>
      <c r="L330">
        <v>2225.4299999999998</v>
      </c>
      <c r="M330" s="2" t="str">
        <f t="shared" si="10"/>
        <v>Feb</v>
      </c>
      <c r="N330" s="2" t="str">
        <f t="shared" si="11"/>
        <v>low</v>
      </c>
      <c r="O330" s="2"/>
    </row>
    <row r="331" spans="1:15">
      <c r="A331" t="s">
        <v>389</v>
      </c>
      <c r="B331" s="1">
        <v>45559</v>
      </c>
      <c r="C331" t="s">
        <v>13</v>
      </c>
      <c r="D331" t="s">
        <v>108</v>
      </c>
      <c r="E331" t="s">
        <v>47</v>
      </c>
      <c r="F331">
        <v>6</v>
      </c>
      <c r="G331">
        <v>1025.06</v>
      </c>
      <c r="H331" s="5">
        <v>0.1</v>
      </c>
      <c r="I331" t="s">
        <v>16</v>
      </c>
      <c r="J331" t="s">
        <v>23</v>
      </c>
      <c r="K331" t="s">
        <v>33</v>
      </c>
      <c r="L331">
        <v>5535.32</v>
      </c>
      <c r="M331" s="2" t="str">
        <f t="shared" si="10"/>
        <v>Sep</v>
      </c>
      <c r="N331" s="2" t="str">
        <f t="shared" si="11"/>
        <v>low</v>
      </c>
      <c r="O331" s="2"/>
    </row>
    <row r="332" spans="1:15">
      <c r="A332" t="s">
        <v>390</v>
      </c>
      <c r="B332" s="1">
        <v>45620</v>
      </c>
      <c r="C332" t="s">
        <v>38</v>
      </c>
      <c r="D332" t="s">
        <v>100</v>
      </c>
      <c r="E332" t="s">
        <v>1160</v>
      </c>
      <c r="F332">
        <v>4</v>
      </c>
      <c r="G332">
        <v>2213.9299999999998</v>
      </c>
      <c r="H332" s="5">
        <v>0</v>
      </c>
      <c r="I332" t="s">
        <v>16</v>
      </c>
      <c r="J332" t="s">
        <v>17</v>
      </c>
      <c r="K332" t="s">
        <v>33</v>
      </c>
      <c r="L332">
        <v>8855.7199999999993</v>
      </c>
      <c r="M332" s="2" t="str">
        <f t="shared" si="10"/>
        <v>Nov</v>
      </c>
      <c r="N332" s="2" t="str">
        <f t="shared" si="11"/>
        <v>low</v>
      </c>
      <c r="O332" s="2"/>
    </row>
    <row r="333" spans="1:15">
      <c r="A333" t="s">
        <v>391</v>
      </c>
      <c r="B333" s="1">
        <v>45527</v>
      </c>
      <c r="C333" t="s">
        <v>38</v>
      </c>
      <c r="D333" t="s">
        <v>42</v>
      </c>
      <c r="E333" t="s">
        <v>53</v>
      </c>
      <c r="F333">
        <v>5</v>
      </c>
      <c r="G333">
        <v>5735.45</v>
      </c>
      <c r="H333" s="5">
        <v>0</v>
      </c>
      <c r="I333" t="s">
        <v>55</v>
      </c>
      <c r="J333" t="s">
        <v>17</v>
      </c>
      <c r="K333" t="s">
        <v>18</v>
      </c>
      <c r="L333">
        <v>28677.25</v>
      </c>
      <c r="M333" s="2" t="str">
        <f t="shared" si="10"/>
        <v>Aug</v>
      </c>
      <c r="N333" s="2" t="str">
        <f t="shared" si="11"/>
        <v>high</v>
      </c>
      <c r="O333" s="2"/>
    </row>
    <row r="334" spans="1:15">
      <c r="A334" t="s">
        <v>392</v>
      </c>
      <c r="B334" s="1">
        <v>45428</v>
      </c>
      <c r="C334" t="s">
        <v>35</v>
      </c>
      <c r="D334" t="s">
        <v>63</v>
      </c>
      <c r="E334" t="s">
        <v>53</v>
      </c>
      <c r="F334">
        <v>3</v>
      </c>
      <c r="G334">
        <v>3634.76</v>
      </c>
      <c r="H334" s="5">
        <v>0.1</v>
      </c>
      <c r="I334" t="s">
        <v>16</v>
      </c>
      <c r="J334" t="s">
        <v>49</v>
      </c>
      <c r="K334" t="s">
        <v>33</v>
      </c>
      <c r="L334">
        <v>9813.85</v>
      </c>
      <c r="M334" s="2" t="str">
        <f t="shared" si="10"/>
        <v>May</v>
      </c>
      <c r="N334" s="2" t="str">
        <f t="shared" si="11"/>
        <v>low</v>
      </c>
      <c r="O334" s="2"/>
    </row>
    <row r="335" spans="1:15">
      <c r="A335" t="s">
        <v>393</v>
      </c>
      <c r="B335" s="1">
        <v>45560</v>
      </c>
      <c r="C335" t="s">
        <v>35</v>
      </c>
      <c r="D335" t="s">
        <v>68</v>
      </c>
      <c r="E335" t="s">
        <v>15</v>
      </c>
      <c r="F335">
        <v>1</v>
      </c>
      <c r="G335">
        <v>2031.94</v>
      </c>
      <c r="H335" s="5">
        <v>0.05</v>
      </c>
      <c r="I335" t="s">
        <v>28</v>
      </c>
      <c r="J335" t="s">
        <v>17</v>
      </c>
      <c r="K335" t="s">
        <v>33</v>
      </c>
      <c r="L335">
        <v>1930.34</v>
      </c>
      <c r="M335" s="2" t="str">
        <f t="shared" si="10"/>
        <v>Sep</v>
      </c>
      <c r="N335" s="2" t="str">
        <f t="shared" si="11"/>
        <v>low</v>
      </c>
      <c r="O335" s="2"/>
    </row>
    <row r="336" spans="1:15">
      <c r="A336" t="s">
        <v>394</v>
      </c>
      <c r="B336" s="1">
        <v>45342</v>
      </c>
      <c r="C336" t="s">
        <v>35</v>
      </c>
      <c r="D336" t="s">
        <v>65</v>
      </c>
      <c r="E336" t="s">
        <v>80</v>
      </c>
      <c r="F336">
        <v>2</v>
      </c>
      <c r="G336">
        <v>2352.94</v>
      </c>
      <c r="H336" s="5">
        <v>0.15</v>
      </c>
      <c r="I336" t="s">
        <v>16</v>
      </c>
      <c r="J336" t="s">
        <v>40</v>
      </c>
      <c r="K336" t="s">
        <v>18</v>
      </c>
      <c r="L336">
        <v>4000</v>
      </c>
      <c r="M336" s="2" t="str">
        <f t="shared" si="10"/>
        <v>Feb</v>
      </c>
      <c r="N336" s="2" t="str">
        <f t="shared" si="11"/>
        <v>low</v>
      </c>
      <c r="O336" s="2"/>
    </row>
    <row r="337" spans="1:15">
      <c r="A337" t="s">
        <v>395</v>
      </c>
      <c r="B337" s="1">
        <v>45547</v>
      </c>
      <c r="C337" t="s">
        <v>38</v>
      </c>
      <c r="D337" t="s">
        <v>42</v>
      </c>
      <c r="E337" t="s">
        <v>1160</v>
      </c>
      <c r="F337">
        <v>6</v>
      </c>
      <c r="G337">
        <v>4898.6899999999996</v>
      </c>
      <c r="H337" s="5">
        <v>0.15</v>
      </c>
      <c r="I337" t="s">
        <v>16</v>
      </c>
      <c r="J337" t="s">
        <v>29</v>
      </c>
      <c r="K337" t="s">
        <v>33</v>
      </c>
      <c r="L337">
        <v>24983.32</v>
      </c>
      <c r="M337" s="2" t="str">
        <f t="shared" si="10"/>
        <v>Sep</v>
      </c>
      <c r="N337" s="2" t="str">
        <f t="shared" si="11"/>
        <v>high</v>
      </c>
      <c r="O337" s="2"/>
    </row>
    <row r="338" spans="1:15">
      <c r="A338" t="s">
        <v>396</v>
      </c>
      <c r="B338" s="1">
        <v>45333</v>
      </c>
      <c r="C338" t="s">
        <v>20</v>
      </c>
      <c r="D338" t="s">
        <v>21</v>
      </c>
      <c r="E338" t="s">
        <v>44</v>
      </c>
      <c r="F338">
        <v>4</v>
      </c>
      <c r="G338">
        <v>1853.2</v>
      </c>
      <c r="H338" s="5">
        <v>0</v>
      </c>
      <c r="I338" t="s">
        <v>16</v>
      </c>
      <c r="J338" t="s">
        <v>49</v>
      </c>
      <c r="K338" t="s">
        <v>33</v>
      </c>
      <c r="L338">
        <v>7412.8</v>
      </c>
      <c r="M338" s="2" t="str">
        <f t="shared" si="10"/>
        <v>Feb</v>
      </c>
      <c r="N338" s="2" t="str">
        <f t="shared" si="11"/>
        <v>low</v>
      </c>
      <c r="O338" s="2"/>
    </row>
    <row r="339" spans="1:15">
      <c r="A339" t="s">
        <v>397</v>
      </c>
      <c r="B339" s="1">
        <v>45639</v>
      </c>
      <c r="C339" t="s">
        <v>35</v>
      </c>
      <c r="D339" t="s">
        <v>65</v>
      </c>
      <c r="E339" t="s">
        <v>32</v>
      </c>
      <c r="F339">
        <v>2</v>
      </c>
      <c r="G339">
        <v>248.99</v>
      </c>
      <c r="H339" s="5">
        <v>0.25</v>
      </c>
      <c r="I339" t="s">
        <v>16</v>
      </c>
      <c r="J339" t="s">
        <v>23</v>
      </c>
      <c r="K339" t="s">
        <v>33</v>
      </c>
      <c r="L339">
        <v>373.49</v>
      </c>
      <c r="M339" s="2" t="str">
        <f t="shared" si="10"/>
        <v>Dec</v>
      </c>
      <c r="N339" s="2" t="str">
        <f t="shared" si="11"/>
        <v>low</v>
      </c>
      <c r="O339" s="2"/>
    </row>
    <row r="340" spans="1:15">
      <c r="A340" t="s">
        <v>398</v>
      </c>
      <c r="B340" s="1">
        <v>45450</v>
      </c>
      <c r="C340" t="s">
        <v>20</v>
      </c>
      <c r="D340" t="s">
        <v>78</v>
      </c>
      <c r="E340" t="s">
        <v>1160</v>
      </c>
      <c r="F340">
        <v>4</v>
      </c>
      <c r="G340">
        <v>2277.19</v>
      </c>
      <c r="H340" s="5">
        <v>0.15</v>
      </c>
      <c r="I340" t="s">
        <v>16</v>
      </c>
      <c r="J340" t="s">
        <v>29</v>
      </c>
      <c r="K340" t="s">
        <v>33</v>
      </c>
      <c r="L340">
        <f>(F340*G340)-(F340*G340)*H340</f>
        <v>7742.4459999999999</v>
      </c>
      <c r="M340" s="2" t="str">
        <f t="shared" si="10"/>
        <v>Jun</v>
      </c>
      <c r="N340" s="2" t="str">
        <f t="shared" si="11"/>
        <v>low</v>
      </c>
      <c r="O340" s="2"/>
    </row>
    <row r="341" spans="1:15">
      <c r="A341" t="s">
        <v>399</v>
      </c>
      <c r="B341" s="1">
        <v>45603</v>
      </c>
      <c r="C341" t="s">
        <v>20</v>
      </c>
      <c r="D341" t="s">
        <v>21</v>
      </c>
      <c r="E341" t="s">
        <v>47</v>
      </c>
      <c r="F341">
        <v>3</v>
      </c>
      <c r="G341">
        <v>4912.2</v>
      </c>
      <c r="H341" s="5">
        <v>0.25</v>
      </c>
      <c r="I341" t="s">
        <v>28</v>
      </c>
      <c r="J341" t="s">
        <v>29</v>
      </c>
      <c r="K341" t="s">
        <v>33</v>
      </c>
      <c r="L341">
        <v>11052.45</v>
      </c>
      <c r="M341" s="2" t="str">
        <f t="shared" si="10"/>
        <v>Nov</v>
      </c>
      <c r="N341" s="2" t="str">
        <f t="shared" si="11"/>
        <v>medium</v>
      </c>
      <c r="O341" s="2"/>
    </row>
    <row r="342" spans="1:15">
      <c r="A342" t="s">
        <v>400</v>
      </c>
      <c r="B342" s="1">
        <v>45589</v>
      </c>
      <c r="C342" t="s">
        <v>20</v>
      </c>
      <c r="D342" t="s">
        <v>61</v>
      </c>
      <c r="E342" t="s">
        <v>47</v>
      </c>
      <c r="F342">
        <v>3</v>
      </c>
      <c r="G342">
        <v>7109.23</v>
      </c>
      <c r="H342" s="5">
        <v>0</v>
      </c>
      <c r="I342" t="s">
        <v>16</v>
      </c>
      <c r="J342" t="s">
        <v>17</v>
      </c>
      <c r="K342" t="s">
        <v>33</v>
      </c>
      <c r="L342">
        <v>21327.69</v>
      </c>
      <c r="M342" s="2" t="str">
        <f t="shared" si="10"/>
        <v>Oct</v>
      </c>
      <c r="N342" s="2" t="str">
        <f t="shared" si="11"/>
        <v>high</v>
      </c>
      <c r="O342" s="2"/>
    </row>
    <row r="343" spans="1:15">
      <c r="A343" t="s">
        <v>401</v>
      </c>
      <c r="B343" s="1">
        <v>45429</v>
      </c>
      <c r="C343" t="s">
        <v>25</v>
      </c>
      <c r="D343" t="s">
        <v>26</v>
      </c>
      <c r="E343" t="s">
        <v>47</v>
      </c>
      <c r="F343">
        <v>6</v>
      </c>
      <c r="G343">
        <v>3350.84</v>
      </c>
      <c r="H343" s="5">
        <v>0</v>
      </c>
      <c r="I343" t="s">
        <v>55</v>
      </c>
      <c r="J343" t="s">
        <v>29</v>
      </c>
      <c r="K343" t="s">
        <v>33</v>
      </c>
      <c r="L343">
        <v>20105.04</v>
      </c>
      <c r="M343" s="2" t="str">
        <f t="shared" si="10"/>
        <v>May</v>
      </c>
      <c r="N343" s="2" t="str">
        <f t="shared" si="11"/>
        <v>high</v>
      </c>
      <c r="O343" s="2"/>
    </row>
    <row r="344" spans="1:15">
      <c r="A344" t="s">
        <v>402</v>
      </c>
      <c r="B344" s="1">
        <v>45563</v>
      </c>
      <c r="C344" t="s">
        <v>20</v>
      </c>
      <c r="D344" t="s">
        <v>78</v>
      </c>
      <c r="E344" t="s">
        <v>53</v>
      </c>
      <c r="F344">
        <v>4</v>
      </c>
      <c r="G344">
        <v>6813.2</v>
      </c>
      <c r="H344" s="5">
        <v>0</v>
      </c>
      <c r="I344" t="s">
        <v>55</v>
      </c>
      <c r="J344" t="s">
        <v>49</v>
      </c>
      <c r="K344" t="s">
        <v>33</v>
      </c>
      <c r="L344">
        <v>27252.799999999999</v>
      </c>
      <c r="M344" s="2" t="str">
        <f t="shared" si="10"/>
        <v>Sep</v>
      </c>
      <c r="N344" s="2" t="str">
        <f t="shared" si="11"/>
        <v>high</v>
      </c>
      <c r="O344" s="2"/>
    </row>
    <row r="345" spans="1:15">
      <c r="A345" t="s">
        <v>403</v>
      </c>
      <c r="B345" s="1">
        <v>45584</v>
      </c>
      <c r="C345" t="s">
        <v>38</v>
      </c>
      <c r="D345" t="s">
        <v>42</v>
      </c>
      <c r="E345" t="s">
        <v>27</v>
      </c>
      <c r="F345">
        <v>4</v>
      </c>
      <c r="G345">
        <v>1574.97</v>
      </c>
      <c r="H345" s="5">
        <v>0.1</v>
      </c>
      <c r="I345" t="s">
        <v>22</v>
      </c>
      <c r="J345" t="s">
        <v>40</v>
      </c>
      <c r="K345" t="s">
        <v>18</v>
      </c>
      <c r="L345">
        <v>5669.89</v>
      </c>
      <c r="M345" s="2" t="str">
        <f t="shared" si="10"/>
        <v>Oct</v>
      </c>
      <c r="N345" s="2" t="str">
        <f t="shared" si="11"/>
        <v>low</v>
      </c>
      <c r="O345" s="2"/>
    </row>
    <row r="346" spans="1:15">
      <c r="A346" t="s">
        <v>404</v>
      </c>
      <c r="B346" s="1">
        <v>45636</v>
      </c>
      <c r="C346" t="s">
        <v>25</v>
      </c>
      <c r="D346" t="s">
        <v>87</v>
      </c>
      <c r="E346" t="s">
        <v>1160</v>
      </c>
      <c r="F346">
        <v>3</v>
      </c>
      <c r="G346">
        <v>6426.84</v>
      </c>
      <c r="H346" s="5">
        <v>0</v>
      </c>
      <c r="I346" t="s">
        <v>55</v>
      </c>
      <c r="J346" t="s">
        <v>23</v>
      </c>
      <c r="K346" t="s">
        <v>33</v>
      </c>
      <c r="L346">
        <v>19280.52</v>
      </c>
      <c r="M346" s="2" t="str">
        <f t="shared" si="10"/>
        <v>Dec</v>
      </c>
      <c r="N346" s="2" t="str">
        <f t="shared" si="11"/>
        <v>medium</v>
      </c>
      <c r="O346" s="2"/>
    </row>
    <row r="347" spans="1:15">
      <c r="A347" t="s">
        <v>405</v>
      </c>
      <c r="B347" s="1">
        <v>45337</v>
      </c>
      <c r="C347" t="s">
        <v>13</v>
      </c>
      <c r="D347" t="s">
        <v>14</v>
      </c>
      <c r="E347" t="s">
        <v>15</v>
      </c>
      <c r="F347">
        <v>2</v>
      </c>
      <c r="G347">
        <v>4408.96</v>
      </c>
      <c r="H347" s="5">
        <v>0.2</v>
      </c>
      <c r="I347" t="s">
        <v>16</v>
      </c>
      <c r="J347" t="s">
        <v>17</v>
      </c>
      <c r="K347" t="s">
        <v>33</v>
      </c>
      <c r="L347">
        <v>7054.34</v>
      </c>
      <c r="M347" s="2" t="str">
        <f t="shared" si="10"/>
        <v>Feb</v>
      </c>
      <c r="N347" s="2" t="str">
        <f t="shared" si="11"/>
        <v>low</v>
      </c>
      <c r="O347" s="2"/>
    </row>
    <row r="348" spans="1:15">
      <c r="A348" t="s">
        <v>406</v>
      </c>
      <c r="B348" s="1">
        <v>45428</v>
      </c>
      <c r="C348" t="s">
        <v>20</v>
      </c>
      <c r="D348" t="s">
        <v>61</v>
      </c>
      <c r="E348" t="s">
        <v>1160</v>
      </c>
      <c r="F348">
        <v>1</v>
      </c>
      <c r="G348">
        <v>430.01</v>
      </c>
      <c r="H348" s="5">
        <v>0.05</v>
      </c>
      <c r="I348" t="s">
        <v>55</v>
      </c>
      <c r="J348" t="s">
        <v>29</v>
      </c>
      <c r="K348" t="s">
        <v>33</v>
      </c>
      <c r="L348">
        <v>408.51</v>
      </c>
      <c r="M348" s="2" t="str">
        <f t="shared" si="10"/>
        <v>May</v>
      </c>
      <c r="N348" s="2" t="str">
        <f t="shared" si="11"/>
        <v>low</v>
      </c>
      <c r="O348" s="2"/>
    </row>
    <row r="349" spans="1:15">
      <c r="A349" t="s">
        <v>407</v>
      </c>
      <c r="B349" s="1">
        <v>45381</v>
      </c>
      <c r="C349" t="s">
        <v>13</v>
      </c>
      <c r="D349" t="s">
        <v>74</v>
      </c>
      <c r="E349" t="s">
        <v>80</v>
      </c>
      <c r="F349">
        <v>4</v>
      </c>
      <c r="G349">
        <v>5590.98</v>
      </c>
      <c r="H349" s="5">
        <v>0.05</v>
      </c>
      <c r="I349" t="s">
        <v>55</v>
      </c>
      <c r="J349" t="s">
        <v>23</v>
      </c>
      <c r="K349" t="s">
        <v>33</v>
      </c>
      <c r="L349">
        <v>21245.72</v>
      </c>
      <c r="M349" s="2" t="str">
        <f t="shared" si="10"/>
        <v>Mar</v>
      </c>
      <c r="N349" s="2" t="str">
        <f t="shared" si="11"/>
        <v>high</v>
      </c>
      <c r="O349" s="2"/>
    </row>
    <row r="350" spans="1:15">
      <c r="A350" t="s">
        <v>408</v>
      </c>
      <c r="B350" s="1">
        <v>45446</v>
      </c>
      <c r="C350" t="s">
        <v>25</v>
      </c>
      <c r="D350" t="s">
        <v>26</v>
      </c>
      <c r="E350" t="s">
        <v>80</v>
      </c>
      <c r="F350">
        <v>6</v>
      </c>
      <c r="G350">
        <v>2157.7600000000002</v>
      </c>
      <c r="H350" s="5">
        <v>0</v>
      </c>
      <c r="I350" t="s">
        <v>28</v>
      </c>
      <c r="J350" t="s">
        <v>40</v>
      </c>
      <c r="K350" t="s">
        <v>33</v>
      </c>
      <c r="L350">
        <v>12946.56</v>
      </c>
      <c r="M350" s="2" t="str">
        <f t="shared" si="10"/>
        <v>Jun</v>
      </c>
      <c r="N350" s="2" t="str">
        <f t="shared" si="11"/>
        <v>medium</v>
      </c>
      <c r="O350" s="2"/>
    </row>
    <row r="351" spans="1:15">
      <c r="A351" t="s">
        <v>409</v>
      </c>
      <c r="B351" s="1">
        <v>45327</v>
      </c>
      <c r="C351" t="s">
        <v>25</v>
      </c>
      <c r="D351" t="s">
        <v>46</v>
      </c>
      <c r="E351" t="s">
        <v>32</v>
      </c>
      <c r="F351">
        <v>1</v>
      </c>
      <c r="G351">
        <v>6721.16</v>
      </c>
      <c r="H351" s="5">
        <v>0</v>
      </c>
      <c r="I351" t="s">
        <v>22</v>
      </c>
      <c r="J351" t="s">
        <v>23</v>
      </c>
      <c r="K351" t="s">
        <v>18</v>
      </c>
      <c r="L351">
        <v>6721.16</v>
      </c>
      <c r="M351" s="2" t="str">
        <f t="shared" si="10"/>
        <v>Feb</v>
      </c>
      <c r="N351" s="2" t="str">
        <f t="shared" si="11"/>
        <v>low</v>
      </c>
      <c r="O351" s="2"/>
    </row>
    <row r="352" spans="1:15">
      <c r="A352" t="s">
        <v>410</v>
      </c>
      <c r="B352" s="1">
        <v>45337</v>
      </c>
      <c r="C352" t="s">
        <v>35</v>
      </c>
      <c r="D352" t="s">
        <v>68</v>
      </c>
      <c r="E352" t="s">
        <v>53</v>
      </c>
      <c r="F352">
        <v>2</v>
      </c>
      <c r="G352">
        <v>1316.64</v>
      </c>
      <c r="H352" s="5">
        <v>0.15</v>
      </c>
      <c r="I352" t="s">
        <v>16</v>
      </c>
      <c r="J352" t="s">
        <v>29</v>
      </c>
      <c r="K352" t="s">
        <v>33</v>
      </c>
      <c r="L352">
        <v>2238.29</v>
      </c>
      <c r="M352" s="2" t="str">
        <f t="shared" si="10"/>
        <v>Feb</v>
      </c>
      <c r="N352" s="2" t="str">
        <f t="shared" si="11"/>
        <v>low</v>
      </c>
      <c r="O352" s="2"/>
    </row>
    <row r="353" spans="1:15">
      <c r="A353" t="s">
        <v>411</v>
      </c>
      <c r="B353" s="1">
        <v>45375</v>
      </c>
      <c r="C353" t="s">
        <v>35</v>
      </c>
      <c r="D353" t="s">
        <v>68</v>
      </c>
      <c r="E353" t="s">
        <v>27</v>
      </c>
      <c r="F353">
        <v>3</v>
      </c>
      <c r="G353">
        <v>867.45</v>
      </c>
      <c r="H353" s="5">
        <v>0</v>
      </c>
      <c r="I353" t="s">
        <v>22</v>
      </c>
      <c r="J353" t="s">
        <v>49</v>
      </c>
      <c r="K353" t="s">
        <v>33</v>
      </c>
      <c r="L353">
        <v>2602.35</v>
      </c>
      <c r="M353" s="2" t="str">
        <f t="shared" si="10"/>
        <v>Mar</v>
      </c>
      <c r="N353" s="2" t="str">
        <f t="shared" si="11"/>
        <v>low</v>
      </c>
      <c r="O353" s="2"/>
    </row>
    <row r="354" spans="1:15">
      <c r="A354" t="s">
        <v>412</v>
      </c>
      <c r="B354" s="1">
        <v>45370</v>
      </c>
      <c r="C354" t="s">
        <v>20</v>
      </c>
      <c r="D354" t="s">
        <v>61</v>
      </c>
      <c r="E354" t="s">
        <v>32</v>
      </c>
      <c r="F354">
        <v>6</v>
      </c>
      <c r="G354">
        <v>3469.12</v>
      </c>
      <c r="H354" s="5">
        <v>0.1</v>
      </c>
      <c r="I354" t="s">
        <v>22</v>
      </c>
      <c r="J354" t="s">
        <v>40</v>
      </c>
      <c r="K354" t="s">
        <v>33</v>
      </c>
      <c r="L354">
        <v>18733.25</v>
      </c>
      <c r="M354" s="2" t="str">
        <f t="shared" si="10"/>
        <v>Mar</v>
      </c>
      <c r="N354" s="2" t="str">
        <f t="shared" si="11"/>
        <v>medium</v>
      </c>
      <c r="O354" s="2"/>
    </row>
    <row r="355" spans="1:15">
      <c r="A355" t="s">
        <v>413</v>
      </c>
      <c r="B355" s="1">
        <v>45410</v>
      </c>
      <c r="C355" t="s">
        <v>20</v>
      </c>
      <c r="D355" t="s">
        <v>78</v>
      </c>
      <c r="E355" t="s">
        <v>44</v>
      </c>
      <c r="F355">
        <v>5</v>
      </c>
      <c r="G355">
        <v>882.58</v>
      </c>
      <c r="H355" s="5">
        <v>0.25</v>
      </c>
      <c r="I355" t="s">
        <v>28</v>
      </c>
      <c r="J355" t="s">
        <v>17</v>
      </c>
      <c r="K355" t="s">
        <v>33</v>
      </c>
      <c r="L355">
        <v>3309.68</v>
      </c>
      <c r="M355" s="2" t="str">
        <f t="shared" si="10"/>
        <v>Apr</v>
      </c>
      <c r="N355" s="2" t="str">
        <f t="shared" si="11"/>
        <v>low</v>
      </c>
      <c r="O355" s="2"/>
    </row>
    <row r="356" spans="1:15">
      <c r="A356" t="s">
        <v>414</v>
      </c>
      <c r="B356" s="1">
        <v>45559</v>
      </c>
      <c r="C356" t="s">
        <v>13</v>
      </c>
      <c r="D356" t="s">
        <v>70</v>
      </c>
      <c r="E356" t="s">
        <v>15</v>
      </c>
      <c r="F356">
        <v>5</v>
      </c>
      <c r="G356">
        <v>2755</v>
      </c>
      <c r="H356" s="5">
        <v>0</v>
      </c>
      <c r="I356" t="s">
        <v>16</v>
      </c>
      <c r="J356" t="s">
        <v>17</v>
      </c>
      <c r="K356" t="s">
        <v>33</v>
      </c>
      <c r="L356">
        <v>13775</v>
      </c>
      <c r="M356" s="2" t="str">
        <f t="shared" si="10"/>
        <v>Sep</v>
      </c>
      <c r="N356" s="2" t="str">
        <f t="shared" si="11"/>
        <v>medium</v>
      </c>
      <c r="O356" s="2"/>
    </row>
    <row r="357" spans="1:15">
      <c r="A357" t="s">
        <v>415</v>
      </c>
      <c r="B357" s="1">
        <v>45631</v>
      </c>
      <c r="C357" t="s">
        <v>20</v>
      </c>
      <c r="D357" t="s">
        <v>61</v>
      </c>
      <c r="E357" t="s">
        <v>27</v>
      </c>
      <c r="F357">
        <v>3</v>
      </c>
      <c r="G357">
        <v>1180.1400000000001</v>
      </c>
      <c r="H357" s="5">
        <v>0</v>
      </c>
      <c r="I357" t="s">
        <v>16</v>
      </c>
      <c r="J357" t="s">
        <v>29</v>
      </c>
      <c r="K357" t="s">
        <v>33</v>
      </c>
      <c r="L357">
        <v>3540.42</v>
      </c>
      <c r="M357" s="2" t="str">
        <f t="shared" si="10"/>
        <v>Dec</v>
      </c>
      <c r="N357" s="2" t="str">
        <f t="shared" si="11"/>
        <v>low</v>
      </c>
      <c r="O357" s="2"/>
    </row>
    <row r="358" spans="1:15">
      <c r="A358" t="s">
        <v>416</v>
      </c>
      <c r="B358" s="1">
        <v>45320</v>
      </c>
      <c r="C358" t="s">
        <v>13</v>
      </c>
      <c r="D358" t="s">
        <v>70</v>
      </c>
      <c r="E358" t="s">
        <v>27</v>
      </c>
      <c r="F358">
        <v>5</v>
      </c>
      <c r="G358">
        <v>2626.69</v>
      </c>
      <c r="H358" s="5">
        <v>0.1</v>
      </c>
      <c r="I358" t="s">
        <v>16</v>
      </c>
      <c r="J358" t="s">
        <v>23</v>
      </c>
      <c r="K358" t="s">
        <v>33</v>
      </c>
      <c r="L358">
        <v>11820.11</v>
      </c>
      <c r="M358" s="2" t="str">
        <f t="shared" si="10"/>
        <v>Jan</v>
      </c>
      <c r="N358" s="2" t="str">
        <f t="shared" si="11"/>
        <v>medium</v>
      </c>
      <c r="O358" s="2"/>
    </row>
    <row r="359" spans="1:15">
      <c r="A359" t="s">
        <v>417</v>
      </c>
      <c r="B359" s="1">
        <v>45353</v>
      </c>
      <c r="C359" t="s">
        <v>35</v>
      </c>
      <c r="D359" t="s">
        <v>63</v>
      </c>
      <c r="E359" t="s">
        <v>80</v>
      </c>
      <c r="F359">
        <v>5</v>
      </c>
      <c r="G359">
        <v>5789.15</v>
      </c>
      <c r="H359" s="5">
        <v>0.15</v>
      </c>
      <c r="I359" t="s">
        <v>22</v>
      </c>
      <c r="J359" t="s">
        <v>40</v>
      </c>
      <c r="K359" t="s">
        <v>33</v>
      </c>
      <c r="L359">
        <v>24603.89</v>
      </c>
      <c r="M359" s="2" t="str">
        <f t="shared" si="10"/>
        <v>Mar</v>
      </c>
      <c r="N359" s="2" t="str">
        <f t="shared" si="11"/>
        <v>high</v>
      </c>
      <c r="O359" s="2"/>
    </row>
    <row r="360" spans="1:15">
      <c r="A360" t="s">
        <v>418</v>
      </c>
      <c r="B360" s="1">
        <v>45421</v>
      </c>
      <c r="C360" t="s">
        <v>38</v>
      </c>
      <c r="D360" t="s">
        <v>39</v>
      </c>
      <c r="E360" t="s">
        <v>53</v>
      </c>
      <c r="F360">
        <v>6</v>
      </c>
      <c r="G360">
        <v>4181.41</v>
      </c>
      <c r="H360" s="5">
        <v>0.25</v>
      </c>
      <c r="I360" t="s">
        <v>16</v>
      </c>
      <c r="J360" t="s">
        <v>49</v>
      </c>
      <c r="K360" t="s">
        <v>33</v>
      </c>
      <c r="L360">
        <v>18816.349999999999</v>
      </c>
      <c r="M360" s="2" t="str">
        <f t="shared" si="10"/>
        <v>May</v>
      </c>
      <c r="N360" s="2" t="str">
        <f t="shared" si="11"/>
        <v>medium</v>
      </c>
      <c r="O360" s="2"/>
    </row>
    <row r="361" spans="1:15">
      <c r="A361" t="s">
        <v>419</v>
      </c>
      <c r="B361" s="1">
        <v>45345</v>
      </c>
      <c r="C361" t="s">
        <v>13</v>
      </c>
      <c r="D361" t="s">
        <v>70</v>
      </c>
      <c r="E361" t="s">
        <v>32</v>
      </c>
      <c r="F361">
        <v>4</v>
      </c>
      <c r="G361">
        <v>839.71</v>
      </c>
      <c r="H361" s="5">
        <v>0.1</v>
      </c>
      <c r="I361" t="s">
        <v>16</v>
      </c>
      <c r="J361" t="s">
        <v>17</v>
      </c>
      <c r="K361" t="s">
        <v>18</v>
      </c>
      <c r="L361">
        <v>3022.96</v>
      </c>
      <c r="M361" s="2" t="str">
        <f t="shared" si="10"/>
        <v>Feb</v>
      </c>
      <c r="N361" s="2" t="str">
        <f t="shared" si="11"/>
        <v>low</v>
      </c>
      <c r="O361" s="2"/>
    </row>
    <row r="362" spans="1:15">
      <c r="A362" t="s">
        <v>420</v>
      </c>
      <c r="B362" s="1">
        <v>45515</v>
      </c>
      <c r="C362" t="s">
        <v>13</v>
      </c>
      <c r="D362" t="s">
        <v>76</v>
      </c>
      <c r="E362" t="s">
        <v>80</v>
      </c>
      <c r="F362">
        <v>5</v>
      </c>
      <c r="G362">
        <v>822.75</v>
      </c>
      <c r="H362" s="5">
        <v>0.2</v>
      </c>
      <c r="I362" t="s">
        <v>22</v>
      </c>
      <c r="J362" t="s">
        <v>23</v>
      </c>
      <c r="K362" t="s">
        <v>18</v>
      </c>
      <c r="L362">
        <v>3291</v>
      </c>
      <c r="M362" s="2" t="str">
        <f t="shared" si="10"/>
        <v>Aug</v>
      </c>
      <c r="N362" s="2" t="str">
        <f t="shared" si="11"/>
        <v>low</v>
      </c>
      <c r="O362" s="2"/>
    </row>
    <row r="363" spans="1:15">
      <c r="A363" t="s">
        <v>421</v>
      </c>
      <c r="B363" s="1">
        <v>45564</v>
      </c>
      <c r="C363" t="s">
        <v>35</v>
      </c>
      <c r="D363" t="s">
        <v>97</v>
      </c>
      <c r="E363" t="s">
        <v>47</v>
      </c>
      <c r="F363">
        <v>5</v>
      </c>
      <c r="G363">
        <v>6689.77</v>
      </c>
      <c r="H363" s="5">
        <v>0.05</v>
      </c>
      <c r="I363" t="s">
        <v>16</v>
      </c>
      <c r="J363" t="s">
        <v>40</v>
      </c>
      <c r="K363" t="s">
        <v>33</v>
      </c>
      <c r="L363">
        <v>31776.41</v>
      </c>
      <c r="M363" s="2" t="str">
        <f t="shared" si="10"/>
        <v>Sep</v>
      </c>
      <c r="N363" s="2" t="str">
        <f t="shared" si="11"/>
        <v>high</v>
      </c>
      <c r="O363" s="2"/>
    </row>
    <row r="364" spans="1:15">
      <c r="A364" t="s">
        <v>422</v>
      </c>
      <c r="B364" s="1">
        <v>45338</v>
      </c>
      <c r="C364" t="s">
        <v>38</v>
      </c>
      <c r="D364" t="s">
        <v>51</v>
      </c>
      <c r="E364" t="s">
        <v>53</v>
      </c>
      <c r="F364">
        <v>3</v>
      </c>
      <c r="G364">
        <v>7552.2</v>
      </c>
      <c r="H364" s="5">
        <v>0.2</v>
      </c>
      <c r="I364" t="s">
        <v>55</v>
      </c>
      <c r="J364" t="s">
        <v>17</v>
      </c>
      <c r="K364" t="s">
        <v>33</v>
      </c>
      <c r="L364">
        <v>18125.28</v>
      </c>
      <c r="M364" s="2" t="str">
        <f t="shared" si="10"/>
        <v>Feb</v>
      </c>
      <c r="N364" s="2" t="str">
        <f t="shared" si="11"/>
        <v>medium</v>
      </c>
      <c r="O364" s="2"/>
    </row>
    <row r="365" spans="1:15">
      <c r="A365" t="s">
        <v>423</v>
      </c>
      <c r="B365" s="1">
        <v>45346</v>
      </c>
      <c r="C365" t="s">
        <v>20</v>
      </c>
      <c r="D365" t="s">
        <v>61</v>
      </c>
      <c r="E365" t="s">
        <v>44</v>
      </c>
      <c r="F365">
        <v>5</v>
      </c>
      <c r="G365">
        <v>2809.98</v>
      </c>
      <c r="H365" s="5">
        <v>0.1</v>
      </c>
      <c r="I365" t="s">
        <v>16</v>
      </c>
      <c r="J365" t="s">
        <v>49</v>
      </c>
      <c r="K365" t="s">
        <v>33</v>
      </c>
      <c r="L365">
        <v>12644.91</v>
      </c>
      <c r="M365" s="2" t="str">
        <f t="shared" si="10"/>
        <v>Feb</v>
      </c>
      <c r="N365" s="2" t="str">
        <f t="shared" si="11"/>
        <v>medium</v>
      </c>
      <c r="O365" s="2"/>
    </row>
    <row r="366" spans="1:15">
      <c r="A366" t="s">
        <v>424</v>
      </c>
      <c r="B366" s="1">
        <v>45641</v>
      </c>
      <c r="C366" t="s">
        <v>13</v>
      </c>
      <c r="D366" t="s">
        <v>14</v>
      </c>
      <c r="E366" t="s">
        <v>80</v>
      </c>
      <c r="F366">
        <v>2</v>
      </c>
      <c r="G366">
        <v>5328.26</v>
      </c>
      <c r="H366" s="5">
        <v>0</v>
      </c>
      <c r="I366" t="s">
        <v>16</v>
      </c>
      <c r="J366" t="s">
        <v>49</v>
      </c>
      <c r="K366" t="s">
        <v>18</v>
      </c>
      <c r="L366">
        <v>10656.52</v>
      </c>
      <c r="M366" s="2" t="str">
        <f t="shared" si="10"/>
        <v>Dec</v>
      </c>
      <c r="N366" s="2" t="str">
        <f t="shared" si="11"/>
        <v>medium</v>
      </c>
      <c r="O366" s="2"/>
    </row>
    <row r="367" spans="1:15">
      <c r="A367" t="s">
        <v>425</v>
      </c>
      <c r="B367" s="1">
        <v>45454</v>
      </c>
      <c r="C367" t="s">
        <v>35</v>
      </c>
      <c r="D367" t="s">
        <v>97</v>
      </c>
      <c r="E367" t="s">
        <v>1160</v>
      </c>
      <c r="F367">
        <v>3</v>
      </c>
      <c r="G367">
        <v>7604.43</v>
      </c>
      <c r="H367" s="5">
        <v>0.1</v>
      </c>
      <c r="I367" t="s">
        <v>16</v>
      </c>
      <c r="J367" t="s">
        <v>40</v>
      </c>
      <c r="K367" t="s">
        <v>33</v>
      </c>
      <c r="L367">
        <v>20531.96</v>
      </c>
      <c r="M367" s="2" t="str">
        <f t="shared" si="10"/>
        <v>Jun</v>
      </c>
      <c r="N367" s="2" t="str">
        <f t="shared" si="11"/>
        <v>high</v>
      </c>
      <c r="O367" s="2"/>
    </row>
    <row r="368" spans="1:15">
      <c r="A368" t="s">
        <v>426</v>
      </c>
      <c r="B368" s="1">
        <v>45379</v>
      </c>
      <c r="C368" t="s">
        <v>25</v>
      </c>
      <c r="D368" t="s">
        <v>26</v>
      </c>
      <c r="E368" t="s">
        <v>32</v>
      </c>
      <c r="F368">
        <v>2</v>
      </c>
      <c r="G368">
        <v>6532.17</v>
      </c>
      <c r="H368" s="5">
        <v>0.1</v>
      </c>
      <c r="I368" t="s">
        <v>28</v>
      </c>
      <c r="J368" t="s">
        <v>49</v>
      </c>
      <c r="K368" t="s">
        <v>33</v>
      </c>
      <c r="L368">
        <v>11757.91</v>
      </c>
      <c r="M368" s="2" t="str">
        <f t="shared" si="10"/>
        <v>Mar</v>
      </c>
      <c r="N368" s="2" t="str">
        <f t="shared" si="11"/>
        <v>medium</v>
      </c>
      <c r="O368" s="2"/>
    </row>
    <row r="369" spans="1:15">
      <c r="A369" t="s">
        <v>427</v>
      </c>
      <c r="B369" s="1">
        <v>45455</v>
      </c>
      <c r="C369" t="s">
        <v>35</v>
      </c>
      <c r="D369" t="s">
        <v>97</v>
      </c>
      <c r="E369" t="s">
        <v>47</v>
      </c>
      <c r="F369">
        <v>2</v>
      </c>
      <c r="G369">
        <v>6878.83</v>
      </c>
      <c r="H369" s="5">
        <v>0</v>
      </c>
      <c r="I369" t="s">
        <v>28</v>
      </c>
      <c r="J369" t="s">
        <v>23</v>
      </c>
      <c r="K369" t="s">
        <v>33</v>
      </c>
      <c r="L369">
        <v>13757.66</v>
      </c>
      <c r="M369" s="2" t="str">
        <f t="shared" si="10"/>
        <v>Jun</v>
      </c>
      <c r="N369" s="2" t="str">
        <f t="shared" si="11"/>
        <v>medium</v>
      </c>
      <c r="O369" s="2"/>
    </row>
    <row r="370" spans="1:15">
      <c r="A370" t="s">
        <v>428</v>
      </c>
      <c r="B370" s="1">
        <v>45343</v>
      </c>
      <c r="C370" t="s">
        <v>13</v>
      </c>
      <c r="D370" t="s">
        <v>14</v>
      </c>
      <c r="E370" t="s">
        <v>53</v>
      </c>
      <c r="F370">
        <v>1</v>
      </c>
      <c r="G370">
        <v>2718.02</v>
      </c>
      <c r="H370" s="5">
        <v>0</v>
      </c>
      <c r="I370" t="s">
        <v>16</v>
      </c>
      <c r="J370" t="s">
        <v>23</v>
      </c>
      <c r="K370" t="s">
        <v>33</v>
      </c>
      <c r="L370">
        <v>2718.02</v>
      </c>
      <c r="M370" s="2" t="str">
        <f t="shared" si="10"/>
        <v>Feb</v>
      </c>
      <c r="N370" s="2" t="str">
        <f t="shared" si="11"/>
        <v>low</v>
      </c>
      <c r="O370" s="2"/>
    </row>
    <row r="371" spans="1:15">
      <c r="A371" t="s">
        <v>429</v>
      </c>
      <c r="B371" s="1">
        <v>45485</v>
      </c>
      <c r="C371" t="s">
        <v>38</v>
      </c>
      <c r="D371" t="s">
        <v>100</v>
      </c>
      <c r="E371" t="s">
        <v>44</v>
      </c>
      <c r="F371">
        <v>3</v>
      </c>
      <c r="G371">
        <v>5163.2700000000004</v>
      </c>
      <c r="H371" s="5">
        <v>0.25</v>
      </c>
      <c r="I371" t="s">
        <v>16</v>
      </c>
      <c r="J371" t="s">
        <v>49</v>
      </c>
      <c r="K371" t="s">
        <v>18</v>
      </c>
      <c r="L371">
        <v>11617.36</v>
      </c>
      <c r="M371" s="2" t="str">
        <f t="shared" si="10"/>
        <v>Jul</v>
      </c>
      <c r="N371" s="2" t="str">
        <f t="shared" si="11"/>
        <v>medium</v>
      </c>
      <c r="O371" s="2"/>
    </row>
    <row r="372" spans="1:15">
      <c r="A372" t="s">
        <v>430</v>
      </c>
      <c r="B372" s="1">
        <v>45539</v>
      </c>
      <c r="C372" t="s">
        <v>25</v>
      </c>
      <c r="D372" t="s">
        <v>94</v>
      </c>
      <c r="E372" t="s">
        <v>53</v>
      </c>
      <c r="F372">
        <v>4</v>
      </c>
      <c r="G372">
        <v>3418.85</v>
      </c>
      <c r="H372" s="5">
        <v>0.1</v>
      </c>
      <c r="I372" t="s">
        <v>16</v>
      </c>
      <c r="J372" t="s">
        <v>40</v>
      </c>
      <c r="K372" t="s">
        <v>18</v>
      </c>
      <c r="L372">
        <v>12307.86</v>
      </c>
      <c r="M372" s="2" t="str">
        <f t="shared" si="10"/>
        <v>Sep</v>
      </c>
      <c r="N372" s="2" t="str">
        <f t="shared" si="11"/>
        <v>medium</v>
      </c>
      <c r="O372" s="2"/>
    </row>
    <row r="373" spans="1:15">
      <c r="A373" t="s">
        <v>431</v>
      </c>
      <c r="B373" s="1">
        <v>45304</v>
      </c>
      <c r="C373" t="s">
        <v>38</v>
      </c>
      <c r="D373" t="s">
        <v>51</v>
      </c>
      <c r="E373" t="s">
        <v>15</v>
      </c>
      <c r="F373">
        <v>6</v>
      </c>
      <c r="G373">
        <v>1178.27</v>
      </c>
      <c r="H373" s="5">
        <v>0</v>
      </c>
      <c r="I373" t="s">
        <v>16</v>
      </c>
      <c r="J373" t="s">
        <v>23</v>
      </c>
      <c r="K373" t="s">
        <v>18</v>
      </c>
      <c r="L373">
        <v>7069.62</v>
      </c>
      <c r="M373" s="2" t="str">
        <f t="shared" si="10"/>
        <v>Jan</v>
      </c>
      <c r="N373" s="2" t="str">
        <f t="shared" si="11"/>
        <v>low</v>
      </c>
      <c r="O373" s="2"/>
    </row>
    <row r="374" spans="1:15">
      <c r="A374" t="s">
        <v>432</v>
      </c>
      <c r="B374" s="1">
        <v>45372</v>
      </c>
      <c r="C374" t="s">
        <v>20</v>
      </c>
      <c r="D374" t="s">
        <v>59</v>
      </c>
      <c r="E374" t="s">
        <v>15</v>
      </c>
      <c r="F374">
        <v>4</v>
      </c>
      <c r="G374">
        <v>5150.0200000000004</v>
      </c>
      <c r="H374" s="5">
        <v>0</v>
      </c>
      <c r="I374" t="s">
        <v>55</v>
      </c>
      <c r="J374" t="s">
        <v>23</v>
      </c>
      <c r="K374" t="s">
        <v>33</v>
      </c>
      <c r="L374">
        <v>20600.080000000002</v>
      </c>
      <c r="M374" s="2" t="str">
        <f t="shared" si="10"/>
        <v>Mar</v>
      </c>
      <c r="N374" s="2" t="str">
        <f t="shared" si="11"/>
        <v>high</v>
      </c>
      <c r="O374" s="2"/>
    </row>
    <row r="375" spans="1:15">
      <c r="A375" t="s">
        <v>433</v>
      </c>
      <c r="B375" s="1">
        <v>45634</v>
      </c>
      <c r="C375" t="s">
        <v>25</v>
      </c>
      <c r="D375" t="s">
        <v>94</v>
      </c>
      <c r="E375" t="s">
        <v>32</v>
      </c>
      <c r="F375">
        <v>2</v>
      </c>
      <c r="G375">
        <v>4898.18</v>
      </c>
      <c r="H375" s="5">
        <v>0.2</v>
      </c>
      <c r="I375" t="s">
        <v>28</v>
      </c>
      <c r="J375" t="s">
        <v>40</v>
      </c>
      <c r="K375" t="s">
        <v>33</v>
      </c>
      <c r="L375">
        <v>7837.09</v>
      </c>
      <c r="M375" s="2" t="str">
        <f t="shared" si="10"/>
        <v>Dec</v>
      </c>
      <c r="N375" s="2" t="str">
        <f t="shared" si="11"/>
        <v>low</v>
      </c>
      <c r="O375" s="2"/>
    </row>
    <row r="376" spans="1:15">
      <c r="A376" t="s">
        <v>434</v>
      </c>
      <c r="B376" s="1">
        <v>45550</v>
      </c>
      <c r="C376" t="s">
        <v>35</v>
      </c>
      <c r="D376" t="s">
        <v>68</v>
      </c>
      <c r="E376" t="s">
        <v>1160</v>
      </c>
      <c r="F376">
        <v>1</v>
      </c>
      <c r="G376">
        <v>7225.68</v>
      </c>
      <c r="H376" s="5">
        <v>0.1</v>
      </c>
      <c r="I376" t="s">
        <v>28</v>
      </c>
      <c r="J376" t="s">
        <v>17</v>
      </c>
      <c r="K376" t="s">
        <v>18</v>
      </c>
      <c r="L376">
        <v>6503.11</v>
      </c>
      <c r="M376" s="2" t="str">
        <f t="shared" si="10"/>
        <v>Sep</v>
      </c>
      <c r="N376" s="2" t="str">
        <f t="shared" si="11"/>
        <v>low</v>
      </c>
      <c r="O376" s="2"/>
    </row>
    <row r="377" spans="1:15">
      <c r="A377" t="s">
        <v>435</v>
      </c>
      <c r="B377" s="1">
        <v>45601</v>
      </c>
      <c r="C377" t="s">
        <v>38</v>
      </c>
      <c r="D377" t="s">
        <v>164</v>
      </c>
      <c r="E377" t="s">
        <v>27</v>
      </c>
      <c r="F377">
        <v>3</v>
      </c>
      <c r="G377">
        <v>1985.18</v>
      </c>
      <c r="H377" s="5">
        <v>0.1</v>
      </c>
      <c r="I377" t="s">
        <v>28</v>
      </c>
      <c r="J377" t="s">
        <v>23</v>
      </c>
      <c r="K377" t="s">
        <v>33</v>
      </c>
      <c r="L377">
        <v>5359.99</v>
      </c>
      <c r="M377" s="2" t="str">
        <f t="shared" si="10"/>
        <v>Nov</v>
      </c>
      <c r="N377" s="2" t="str">
        <f t="shared" si="11"/>
        <v>low</v>
      </c>
      <c r="O377" s="2"/>
    </row>
    <row r="378" spans="1:15">
      <c r="A378" t="s">
        <v>436</v>
      </c>
      <c r="B378" s="1">
        <v>45556</v>
      </c>
      <c r="C378" t="s">
        <v>25</v>
      </c>
      <c r="D378" t="s">
        <v>46</v>
      </c>
      <c r="E378" t="s">
        <v>1160</v>
      </c>
      <c r="F378">
        <v>2</v>
      </c>
      <c r="G378">
        <v>1972.43</v>
      </c>
      <c r="H378" s="5">
        <v>0.05</v>
      </c>
      <c r="I378" t="s">
        <v>16</v>
      </c>
      <c r="J378" t="s">
        <v>49</v>
      </c>
      <c r="K378" t="s">
        <v>33</v>
      </c>
      <c r="L378">
        <v>3747.62</v>
      </c>
      <c r="M378" s="2" t="str">
        <f t="shared" si="10"/>
        <v>Sep</v>
      </c>
      <c r="N378" s="2" t="str">
        <f t="shared" si="11"/>
        <v>low</v>
      </c>
      <c r="O378" s="2"/>
    </row>
    <row r="379" spans="1:15">
      <c r="A379" t="s">
        <v>437</v>
      </c>
      <c r="B379" s="1">
        <v>45542</v>
      </c>
      <c r="C379" t="s">
        <v>13</v>
      </c>
      <c r="D379" t="s">
        <v>74</v>
      </c>
      <c r="E379" t="s">
        <v>32</v>
      </c>
      <c r="F379">
        <v>1</v>
      </c>
      <c r="G379">
        <v>3624.61</v>
      </c>
      <c r="H379" s="5">
        <v>0</v>
      </c>
      <c r="I379" t="s">
        <v>16</v>
      </c>
      <c r="J379" t="s">
        <v>23</v>
      </c>
      <c r="K379" t="s">
        <v>33</v>
      </c>
      <c r="L379">
        <v>3624.61</v>
      </c>
      <c r="M379" s="2" t="str">
        <f t="shared" si="10"/>
        <v>Sep</v>
      </c>
      <c r="N379" s="2" t="str">
        <f t="shared" si="11"/>
        <v>low</v>
      </c>
      <c r="O379" s="2"/>
    </row>
    <row r="380" spans="1:15">
      <c r="A380" t="s">
        <v>438</v>
      </c>
      <c r="B380" s="1">
        <v>45417</v>
      </c>
      <c r="C380" t="s">
        <v>25</v>
      </c>
      <c r="D380" t="s">
        <v>46</v>
      </c>
      <c r="E380" t="s">
        <v>15</v>
      </c>
      <c r="F380">
        <v>2</v>
      </c>
      <c r="G380">
        <v>1937.27</v>
      </c>
      <c r="H380" s="5">
        <v>0.2</v>
      </c>
      <c r="I380" t="s">
        <v>16</v>
      </c>
      <c r="J380" t="s">
        <v>40</v>
      </c>
      <c r="K380" t="s">
        <v>33</v>
      </c>
      <c r="L380">
        <v>3099.63</v>
      </c>
      <c r="M380" s="2" t="str">
        <f t="shared" si="10"/>
        <v>May</v>
      </c>
      <c r="N380" s="2" t="str">
        <f t="shared" si="11"/>
        <v>low</v>
      </c>
      <c r="O380" s="2"/>
    </row>
    <row r="381" spans="1:15">
      <c r="A381" t="s">
        <v>439</v>
      </c>
      <c r="B381" s="1">
        <v>45355</v>
      </c>
      <c r="C381" t="s">
        <v>20</v>
      </c>
      <c r="D381" t="s">
        <v>57</v>
      </c>
      <c r="E381" t="s">
        <v>80</v>
      </c>
      <c r="F381">
        <v>5</v>
      </c>
      <c r="G381">
        <v>2474.65</v>
      </c>
      <c r="H381" s="5">
        <v>0.2</v>
      </c>
      <c r="I381" t="s">
        <v>55</v>
      </c>
      <c r="J381" t="s">
        <v>29</v>
      </c>
      <c r="K381" t="s">
        <v>33</v>
      </c>
      <c r="L381">
        <v>9898.6</v>
      </c>
      <c r="M381" s="2" t="str">
        <f t="shared" si="10"/>
        <v>Mar</v>
      </c>
      <c r="N381" s="2" t="str">
        <f t="shared" si="11"/>
        <v>low</v>
      </c>
      <c r="O381" s="2"/>
    </row>
    <row r="382" spans="1:15">
      <c r="A382" t="s">
        <v>440</v>
      </c>
      <c r="B382" s="1">
        <v>45595</v>
      </c>
      <c r="C382" t="s">
        <v>25</v>
      </c>
      <c r="D382" t="s">
        <v>26</v>
      </c>
      <c r="E382" t="s">
        <v>44</v>
      </c>
      <c r="F382">
        <v>5</v>
      </c>
      <c r="G382">
        <v>1285.52</v>
      </c>
      <c r="H382" s="5">
        <v>0.05</v>
      </c>
      <c r="I382" t="s">
        <v>16</v>
      </c>
      <c r="J382" t="s">
        <v>29</v>
      </c>
      <c r="K382" t="s">
        <v>33</v>
      </c>
      <c r="L382">
        <v>6106.22</v>
      </c>
      <c r="M382" s="2" t="str">
        <f t="shared" si="10"/>
        <v>Oct</v>
      </c>
      <c r="N382" s="2" t="str">
        <f t="shared" si="11"/>
        <v>low</v>
      </c>
      <c r="O382" s="2"/>
    </row>
    <row r="383" spans="1:15">
      <c r="A383" t="s">
        <v>441</v>
      </c>
      <c r="B383" s="1">
        <v>45622</v>
      </c>
      <c r="C383" t="s">
        <v>13</v>
      </c>
      <c r="D383" t="s">
        <v>108</v>
      </c>
      <c r="E383" t="s">
        <v>15</v>
      </c>
      <c r="F383">
        <v>2</v>
      </c>
      <c r="G383">
        <v>3802.54</v>
      </c>
      <c r="H383" s="5">
        <v>0</v>
      </c>
      <c r="I383" t="s">
        <v>16</v>
      </c>
      <c r="J383" t="s">
        <v>17</v>
      </c>
      <c r="K383" t="s">
        <v>33</v>
      </c>
      <c r="L383">
        <v>7605.08</v>
      </c>
      <c r="M383" s="2" t="str">
        <f t="shared" si="10"/>
        <v>Nov</v>
      </c>
      <c r="N383" s="2" t="str">
        <f t="shared" si="11"/>
        <v>low</v>
      </c>
      <c r="O383" s="2"/>
    </row>
    <row r="384" spans="1:15">
      <c r="A384" t="s">
        <v>442</v>
      </c>
      <c r="B384" s="1">
        <v>45575</v>
      </c>
      <c r="C384" t="s">
        <v>25</v>
      </c>
      <c r="D384" t="s">
        <v>46</v>
      </c>
      <c r="E384" t="s">
        <v>47</v>
      </c>
      <c r="F384">
        <v>6</v>
      </c>
      <c r="G384">
        <v>5352.49</v>
      </c>
      <c r="H384" s="5">
        <v>0</v>
      </c>
      <c r="I384" t="s">
        <v>22</v>
      </c>
      <c r="J384" t="s">
        <v>49</v>
      </c>
      <c r="K384" t="s">
        <v>33</v>
      </c>
      <c r="L384">
        <v>32114.94</v>
      </c>
      <c r="M384" s="2" t="str">
        <f t="shared" si="10"/>
        <v>Oct</v>
      </c>
      <c r="N384" s="2" t="str">
        <f t="shared" si="11"/>
        <v>high</v>
      </c>
      <c r="O384" s="2"/>
    </row>
    <row r="385" spans="1:15">
      <c r="A385" t="s">
        <v>443</v>
      </c>
      <c r="B385" s="1">
        <v>45625</v>
      </c>
      <c r="C385" t="s">
        <v>13</v>
      </c>
      <c r="D385" t="s">
        <v>14</v>
      </c>
      <c r="E385" t="s">
        <v>15</v>
      </c>
      <c r="F385">
        <v>2</v>
      </c>
      <c r="G385">
        <v>2392.4</v>
      </c>
      <c r="H385" s="5">
        <v>0.05</v>
      </c>
      <c r="I385" t="s">
        <v>16</v>
      </c>
      <c r="J385" t="s">
        <v>49</v>
      </c>
      <c r="K385" t="s">
        <v>18</v>
      </c>
      <c r="L385">
        <v>4545.5600000000004</v>
      </c>
      <c r="M385" s="2" t="str">
        <f t="shared" si="10"/>
        <v>Nov</v>
      </c>
      <c r="N385" s="2" t="str">
        <f t="shared" si="11"/>
        <v>low</v>
      </c>
      <c r="O385" s="2"/>
    </row>
    <row r="386" spans="1:15">
      <c r="A386" t="s">
        <v>444</v>
      </c>
      <c r="B386" s="1">
        <v>45619</v>
      </c>
      <c r="C386" t="s">
        <v>13</v>
      </c>
      <c r="D386" t="s">
        <v>70</v>
      </c>
      <c r="E386" t="s">
        <v>80</v>
      </c>
      <c r="F386">
        <v>4</v>
      </c>
      <c r="G386">
        <v>1062.57</v>
      </c>
      <c r="H386" s="5">
        <v>0.1</v>
      </c>
      <c r="I386" t="s">
        <v>55</v>
      </c>
      <c r="J386" t="s">
        <v>17</v>
      </c>
      <c r="K386" t="s">
        <v>18</v>
      </c>
      <c r="L386">
        <f>(F386*G386)-(F386*G386)*H386</f>
        <v>3825.2519999999995</v>
      </c>
      <c r="M386" s="2" t="str">
        <f t="shared" ref="M386:M449" si="12">TEXT(B386,"mmm")</f>
        <v>Nov</v>
      </c>
      <c r="N386" s="2" t="str">
        <f t="shared" ref="N386:N449" si="13">IF(L386&gt;20000,"high",IF(L386&gt;10000,"medium","low"))</f>
        <v>low</v>
      </c>
      <c r="O386" s="2"/>
    </row>
    <row r="387" spans="1:15">
      <c r="A387" t="s">
        <v>445</v>
      </c>
      <c r="B387" s="1">
        <v>45433</v>
      </c>
      <c r="C387" t="s">
        <v>13</v>
      </c>
      <c r="D387" t="s">
        <v>70</v>
      </c>
      <c r="E387" t="s">
        <v>32</v>
      </c>
      <c r="F387">
        <v>3</v>
      </c>
      <c r="G387">
        <v>2410.3200000000002</v>
      </c>
      <c r="H387" s="5">
        <v>0.25</v>
      </c>
      <c r="I387" t="s">
        <v>16</v>
      </c>
      <c r="J387" t="s">
        <v>23</v>
      </c>
      <c r="K387" t="s">
        <v>33</v>
      </c>
      <c r="L387">
        <v>5423.22</v>
      </c>
      <c r="M387" s="2" t="str">
        <f t="shared" si="12"/>
        <v>May</v>
      </c>
      <c r="N387" s="2" t="str">
        <f t="shared" si="13"/>
        <v>low</v>
      </c>
      <c r="O387" s="2"/>
    </row>
    <row r="388" spans="1:15">
      <c r="A388" t="s">
        <v>446</v>
      </c>
      <c r="B388" s="1">
        <v>45321</v>
      </c>
      <c r="C388" t="s">
        <v>13</v>
      </c>
      <c r="D388" t="s">
        <v>14</v>
      </c>
      <c r="E388" t="s">
        <v>1160</v>
      </c>
      <c r="F388">
        <v>4</v>
      </c>
      <c r="G388">
        <v>2221.11</v>
      </c>
      <c r="H388" s="5">
        <v>0</v>
      </c>
      <c r="I388" t="s">
        <v>16</v>
      </c>
      <c r="J388" t="s">
        <v>17</v>
      </c>
      <c r="K388" t="s">
        <v>33</v>
      </c>
      <c r="L388">
        <v>8884.44</v>
      </c>
      <c r="M388" s="2" t="str">
        <f t="shared" si="12"/>
        <v>Jan</v>
      </c>
      <c r="N388" s="2" t="str">
        <f t="shared" si="13"/>
        <v>low</v>
      </c>
      <c r="O388" s="2"/>
    </row>
    <row r="389" spans="1:15">
      <c r="A389" t="s">
        <v>447</v>
      </c>
      <c r="B389" s="1">
        <v>45508</v>
      </c>
      <c r="C389" t="s">
        <v>35</v>
      </c>
      <c r="D389" t="s">
        <v>65</v>
      </c>
      <c r="E389" t="s">
        <v>15</v>
      </c>
      <c r="F389">
        <v>1</v>
      </c>
      <c r="G389">
        <v>5092.1000000000004</v>
      </c>
      <c r="H389" s="5">
        <v>0.05</v>
      </c>
      <c r="I389" t="s">
        <v>28</v>
      </c>
      <c r="J389" t="s">
        <v>40</v>
      </c>
      <c r="K389" t="s">
        <v>18</v>
      </c>
      <c r="L389">
        <v>4837.49</v>
      </c>
      <c r="M389" s="2" t="str">
        <f t="shared" si="12"/>
        <v>Aug</v>
      </c>
      <c r="N389" s="2" t="str">
        <f t="shared" si="13"/>
        <v>low</v>
      </c>
      <c r="O389" s="2"/>
    </row>
    <row r="390" spans="1:15">
      <c r="A390" t="s">
        <v>448</v>
      </c>
      <c r="B390" s="1">
        <v>45529</v>
      </c>
      <c r="C390" t="s">
        <v>13</v>
      </c>
      <c r="D390" t="s">
        <v>14</v>
      </c>
      <c r="E390" t="s">
        <v>53</v>
      </c>
      <c r="F390">
        <v>2</v>
      </c>
      <c r="G390">
        <v>990.84</v>
      </c>
      <c r="H390" s="5">
        <v>0.1</v>
      </c>
      <c r="I390" t="s">
        <v>28</v>
      </c>
      <c r="J390" t="s">
        <v>17</v>
      </c>
      <c r="K390" t="s">
        <v>33</v>
      </c>
      <c r="L390">
        <v>1783.51</v>
      </c>
      <c r="M390" s="2" t="str">
        <f t="shared" si="12"/>
        <v>Aug</v>
      </c>
      <c r="N390" s="2" t="str">
        <f t="shared" si="13"/>
        <v>low</v>
      </c>
      <c r="O390" s="2"/>
    </row>
    <row r="391" spans="1:15">
      <c r="A391" t="s">
        <v>449</v>
      </c>
      <c r="B391" s="1">
        <v>45520</v>
      </c>
      <c r="C391" t="s">
        <v>38</v>
      </c>
      <c r="D391" t="s">
        <v>39</v>
      </c>
      <c r="E391" t="s">
        <v>27</v>
      </c>
      <c r="F391">
        <v>2</v>
      </c>
      <c r="G391">
        <v>3942.14</v>
      </c>
      <c r="H391" s="5">
        <v>0</v>
      </c>
      <c r="I391" t="s">
        <v>22</v>
      </c>
      <c r="J391" t="s">
        <v>29</v>
      </c>
      <c r="K391" t="s">
        <v>18</v>
      </c>
      <c r="L391">
        <v>7884.28</v>
      </c>
      <c r="M391" s="2" t="str">
        <f t="shared" si="12"/>
        <v>Aug</v>
      </c>
      <c r="N391" s="2" t="str">
        <f t="shared" si="13"/>
        <v>low</v>
      </c>
      <c r="O391" s="2"/>
    </row>
    <row r="392" spans="1:15">
      <c r="A392" t="s">
        <v>450</v>
      </c>
      <c r="B392" s="1">
        <v>45517</v>
      </c>
      <c r="C392" t="s">
        <v>38</v>
      </c>
      <c r="D392" t="s">
        <v>51</v>
      </c>
      <c r="E392" t="s">
        <v>32</v>
      </c>
      <c r="F392">
        <v>5</v>
      </c>
      <c r="G392">
        <v>6358.68</v>
      </c>
      <c r="H392" s="5">
        <v>0</v>
      </c>
      <c r="I392" t="s">
        <v>55</v>
      </c>
      <c r="J392" t="s">
        <v>49</v>
      </c>
      <c r="K392" t="s">
        <v>33</v>
      </c>
      <c r="L392">
        <v>31793.4</v>
      </c>
      <c r="M392" s="2" t="str">
        <f t="shared" si="12"/>
        <v>Aug</v>
      </c>
      <c r="N392" s="2" t="str">
        <f t="shared" si="13"/>
        <v>high</v>
      </c>
      <c r="O392" s="2"/>
    </row>
    <row r="393" spans="1:15">
      <c r="A393" t="s">
        <v>451</v>
      </c>
      <c r="B393" s="1">
        <v>45546</v>
      </c>
      <c r="C393" t="s">
        <v>35</v>
      </c>
      <c r="D393" t="s">
        <v>36</v>
      </c>
      <c r="E393" t="s">
        <v>47</v>
      </c>
      <c r="F393">
        <v>2</v>
      </c>
      <c r="G393">
        <v>5553.6</v>
      </c>
      <c r="H393" s="5">
        <v>0.05</v>
      </c>
      <c r="I393" t="s">
        <v>22</v>
      </c>
      <c r="J393" t="s">
        <v>40</v>
      </c>
      <c r="K393" t="s">
        <v>33</v>
      </c>
      <c r="L393">
        <v>10551.84</v>
      </c>
      <c r="M393" s="2" t="str">
        <f t="shared" si="12"/>
        <v>Sep</v>
      </c>
      <c r="N393" s="2" t="str">
        <f t="shared" si="13"/>
        <v>medium</v>
      </c>
      <c r="O393" s="2"/>
    </row>
    <row r="394" spans="1:15">
      <c r="A394" t="s">
        <v>452</v>
      </c>
      <c r="B394" s="1">
        <v>45631</v>
      </c>
      <c r="C394" t="s">
        <v>38</v>
      </c>
      <c r="D394" t="s">
        <v>164</v>
      </c>
      <c r="E394" t="s">
        <v>15</v>
      </c>
      <c r="F394">
        <v>4</v>
      </c>
      <c r="G394">
        <v>2770</v>
      </c>
      <c r="H394" s="5">
        <v>0.25</v>
      </c>
      <c r="I394" t="s">
        <v>28</v>
      </c>
      <c r="J394" t="s">
        <v>29</v>
      </c>
      <c r="K394" t="s">
        <v>33</v>
      </c>
      <c r="L394">
        <v>8310</v>
      </c>
      <c r="M394" s="2" t="str">
        <f t="shared" si="12"/>
        <v>Dec</v>
      </c>
      <c r="N394" s="2" t="str">
        <f t="shared" si="13"/>
        <v>low</v>
      </c>
      <c r="O394" s="2"/>
    </row>
    <row r="395" spans="1:15">
      <c r="A395" t="s">
        <v>453</v>
      </c>
      <c r="B395" s="1">
        <v>45454</v>
      </c>
      <c r="C395" t="s">
        <v>25</v>
      </c>
      <c r="D395" t="s">
        <v>31</v>
      </c>
      <c r="E395" t="s">
        <v>80</v>
      </c>
      <c r="F395">
        <v>6</v>
      </c>
      <c r="G395">
        <v>6096.81</v>
      </c>
      <c r="H395" s="5">
        <v>0.1</v>
      </c>
      <c r="I395" t="s">
        <v>28</v>
      </c>
      <c r="J395" t="s">
        <v>40</v>
      </c>
      <c r="K395" t="s">
        <v>33</v>
      </c>
      <c r="L395">
        <v>32922.769999999997</v>
      </c>
      <c r="M395" s="2" t="str">
        <f t="shared" si="12"/>
        <v>Jun</v>
      </c>
      <c r="N395" s="2" t="str">
        <f t="shared" si="13"/>
        <v>high</v>
      </c>
      <c r="O395" s="2"/>
    </row>
    <row r="396" spans="1:15">
      <c r="A396" t="s">
        <v>454</v>
      </c>
      <c r="B396" s="1">
        <v>45334</v>
      </c>
      <c r="C396" t="s">
        <v>35</v>
      </c>
      <c r="D396" t="s">
        <v>63</v>
      </c>
      <c r="E396" t="s">
        <v>15</v>
      </c>
      <c r="F396">
        <v>5</v>
      </c>
      <c r="G396">
        <v>3402.55</v>
      </c>
      <c r="H396" s="5">
        <v>0.1</v>
      </c>
      <c r="I396" t="s">
        <v>28</v>
      </c>
      <c r="J396" t="s">
        <v>23</v>
      </c>
      <c r="K396" t="s">
        <v>18</v>
      </c>
      <c r="L396">
        <v>15311.48</v>
      </c>
      <c r="M396" s="2" t="str">
        <f t="shared" si="12"/>
        <v>Feb</v>
      </c>
      <c r="N396" s="2" t="str">
        <f t="shared" si="13"/>
        <v>medium</v>
      </c>
      <c r="O396" s="2"/>
    </row>
    <row r="397" spans="1:15">
      <c r="A397" t="s">
        <v>455</v>
      </c>
      <c r="B397" s="1">
        <v>45602</v>
      </c>
      <c r="C397" t="s">
        <v>38</v>
      </c>
      <c r="D397" t="s">
        <v>100</v>
      </c>
      <c r="E397" t="s">
        <v>53</v>
      </c>
      <c r="F397">
        <v>4</v>
      </c>
      <c r="G397">
        <v>3618.11</v>
      </c>
      <c r="H397" s="5">
        <v>0.1</v>
      </c>
      <c r="I397" t="s">
        <v>16</v>
      </c>
      <c r="J397" t="s">
        <v>29</v>
      </c>
      <c r="K397" t="s">
        <v>33</v>
      </c>
      <c r="L397">
        <v>13025.2</v>
      </c>
      <c r="M397" s="2" t="str">
        <f t="shared" si="12"/>
        <v>Nov</v>
      </c>
      <c r="N397" s="2" t="str">
        <f t="shared" si="13"/>
        <v>medium</v>
      </c>
      <c r="O397" s="2"/>
    </row>
    <row r="398" spans="1:15">
      <c r="A398" t="s">
        <v>456</v>
      </c>
      <c r="B398" s="1">
        <v>45481</v>
      </c>
      <c r="C398" t="s">
        <v>35</v>
      </c>
      <c r="D398" t="s">
        <v>97</v>
      </c>
      <c r="E398" t="s">
        <v>27</v>
      </c>
      <c r="F398">
        <v>2</v>
      </c>
      <c r="G398">
        <v>7371.56</v>
      </c>
      <c r="H398" s="5">
        <v>0.2</v>
      </c>
      <c r="I398" t="s">
        <v>28</v>
      </c>
      <c r="J398" t="s">
        <v>29</v>
      </c>
      <c r="K398" t="s">
        <v>33</v>
      </c>
      <c r="L398">
        <v>11794.5</v>
      </c>
      <c r="M398" s="2" t="str">
        <f t="shared" si="12"/>
        <v>Jul</v>
      </c>
      <c r="N398" s="2" t="str">
        <f t="shared" si="13"/>
        <v>medium</v>
      </c>
      <c r="O398" s="2"/>
    </row>
    <row r="399" spans="1:15">
      <c r="A399" t="s">
        <v>457</v>
      </c>
      <c r="B399" s="1">
        <v>45366</v>
      </c>
      <c r="C399" t="s">
        <v>38</v>
      </c>
      <c r="D399" t="s">
        <v>42</v>
      </c>
      <c r="E399" t="s">
        <v>32</v>
      </c>
      <c r="F399">
        <v>6</v>
      </c>
      <c r="G399">
        <v>2467.06</v>
      </c>
      <c r="H399" s="5">
        <v>0.05</v>
      </c>
      <c r="I399" t="s">
        <v>16</v>
      </c>
      <c r="J399" t="s">
        <v>40</v>
      </c>
      <c r="K399" t="s">
        <v>33</v>
      </c>
      <c r="L399">
        <v>14062.24</v>
      </c>
      <c r="M399" s="2" t="str">
        <f t="shared" si="12"/>
        <v>Mar</v>
      </c>
      <c r="N399" s="2" t="str">
        <f t="shared" si="13"/>
        <v>medium</v>
      </c>
      <c r="O399" s="2"/>
    </row>
    <row r="400" spans="1:15">
      <c r="A400" t="s">
        <v>458</v>
      </c>
      <c r="B400" s="1">
        <v>45333</v>
      </c>
      <c r="C400" t="s">
        <v>38</v>
      </c>
      <c r="D400" t="s">
        <v>42</v>
      </c>
      <c r="E400" t="s">
        <v>53</v>
      </c>
      <c r="F400">
        <v>1</v>
      </c>
      <c r="G400">
        <v>1840.98</v>
      </c>
      <c r="H400" s="5">
        <v>0.25</v>
      </c>
      <c r="I400" t="s">
        <v>22</v>
      </c>
      <c r="J400" t="s">
        <v>23</v>
      </c>
      <c r="K400" t="s">
        <v>18</v>
      </c>
      <c r="L400">
        <v>1380.74</v>
      </c>
      <c r="M400" s="2" t="str">
        <f t="shared" si="12"/>
        <v>Feb</v>
      </c>
      <c r="N400" s="2" t="str">
        <f t="shared" si="13"/>
        <v>low</v>
      </c>
      <c r="O400" s="2"/>
    </row>
    <row r="401" spans="1:15">
      <c r="A401" t="s">
        <v>459</v>
      </c>
      <c r="B401" s="1">
        <v>45464</v>
      </c>
      <c r="C401" t="s">
        <v>20</v>
      </c>
      <c r="D401" t="s">
        <v>57</v>
      </c>
      <c r="E401" t="s">
        <v>27</v>
      </c>
      <c r="F401">
        <v>2</v>
      </c>
      <c r="G401">
        <v>1435.79</v>
      </c>
      <c r="H401" s="5">
        <v>0.1</v>
      </c>
      <c r="I401" t="s">
        <v>55</v>
      </c>
      <c r="J401" t="s">
        <v>23</v>
      </c>
      <c r="K401" t="s">
        <v>33</v>
      </c>
      <c r="L401">
        <v>2584.42</v>
      </c>
      <c r="M401" s="2" t="str">
        <f t="shared" si="12"/>
        <v>Jun</v>
      </c>
      <c r="N401" s="2" t="str">
        <f t="shared" si="13"/>
        <v>low</v>
      </c>
      <c r="O401" s="2"/>
    </row>
    <row r="402" spans="1:15">
      <c r="A402" t="s">
        <v>460</v>
      </c>
      <c r="B402" s="1">
        <v>45400</v>
      </c>
      <c r="C402" t="s">
        <v>35</v>
      </c>
      <c r="D402" t="s">
        <v>65</v>
      </c>
      <c r="E402" t="s">
        <v>44</v>
      </c>
      <c r="F402">
        <v>1</v>
      </c>
      <c r="G402">
        <v>3418.16</v>
      </c>
      <c r="H402" s="5">
        <v>0.25</v>
      </c>
      <c r="I402" t="s">
        <v>16</v>
      </c>
      <c r="J402" t="s">
        <v>49</v>
      </c>
      <c r="K402" t="s">
        <v>33</v>
      </c>
      <c r="L402">
        <v>2563.62</v>
      </c>
      <c r="M402" s="2" t="str">
        <f t="shared" si="12"/>
        <v>Apr</v>
      </c>
      <c r="N402" s="2" t="str">
        <f t="shared" si="13"/>
        <v>low</v>
      </c>
      <c r="O402" s="2"/>
    </row>
    <row r="403" spans="1:15">
      <c r="A403" t="s">
        <v>461</v>
      </c>
      <c r="B403" s="1">
        <v>45575</v>
      </c>
      <c r="C403" t="s">
        <v>13</v>
      </c>
      <c r="D403" t="s">
        <v>14</v>
      </c>
      <c r="E403" t="s">
        <v>53</v>
      </c>
      <c r="F403">
        <v>3</v>
      </c>
      <c r="G403">
        <v>3330.38</v>
      </c>
      <c r="H403" s="5">
        <v>0.05</v>
      </c>
      <c r="I403" t="s">
        <v>16</v>
      </c>
      <c r="J403" t="s">
        <v>40</v>
      </c>
      <c r="K403" t="s">
        <v>33</v>
      </c>
      <c r="L403">
        <v>9491.58</v>
      </c>
      <c r="M403" s="2" t="str">
        <f t="shared" si="12"/>
        <v>Oct</v>
      </c>
      <c r="N403" s="2" t="str">
        <f t="shared" si="13"/>
        <v>low</v>
      </c>
      <c r="O403" s="2"/>
    </row>
    <row r="404" spans="1:15">
      <c r="A404" t="s">
        <v>462</v>
      </c>
      <c r="B404" s="1">
        <v>45467</v>
      </c>
      <c r="C404" t="s">
        <v>25</v>
      </c>
      <c r="D404" t="s">
        <v>46</v>
      </c>
      <c r="E404" t="s">
        <v>47</v>
      </c>
      <c r="F404">
        <v>1</v>
      </c>
      <c r="G404">
        <v>3036.27</v>
      </c>
      <c r="H404" s="5">
        <v>0</v>
      </c>
      <c r="I404" t="s">
        <v>16</v>
      </c>
      <c r="J404" t="s">
        <v>23</v>
      </c>
      <c r="K404" t="s">
        <v>33</v>
      </c>
      <c r="L404">
        <v>3036.27</v>
      </c>
      <c r="M404" s="2" t="str">
        <f t="shared" si="12"/>
        <v>Jun</v>
      </c>
      <c r="N404" s="2" t="str">
        <f t="shared" si="13"/>
        <v>low</v>
      </c>
      <c r="O404" s="2"/>
    </row>
    <row r="405" spans="1:15">
      <c r="A405" t="s">
        <v>463</v>
      </c>
      <c r="B405" s="1">
        <v>45526</v>
      </c>
      <c r="C405" t="s">
        <v>35</v>
      </c>
      <c r="D405" t="s">
        <v>97</v>
      </c>
      <c r="E405" t="s">
        <v>1160</v>
      </c>
      <c r="F405">
        <v>1</v>
      </c>
      <c r="G405">
        <v>7660.63</v>
      </c>
      <c r="H405" s="5">
        <v>0.25</v>
      </c>
      <c r="I405" t="s">
        <v>22</v>
      </c>
      <c r="J405" t="s">
        <v>17</v>
      </c>
      <c r="K405" t="s">
        <v>33</v>
      </c>
      <c r="L405">
        <v>5745.47</v>
      </c>
      <c r="M405" s="2" t="str">
        <f t="shared" si="12"/>
        <v>Aug</v>
      </c>
      <c r="N405" s="2" t="str">
        <f t="shared" si="13"/>
        <v>low</v>
      </c>
      <c r="O405" s="2"/>
    </row>
    <row r="406" spans="1:15">
      <c r="A406" t="s">
        <v>464</v>
      </c>
      <c r="B406" s="1">
        <v>45388</v>
      </c>
      <c r="C406" t="s">
        <v>25</v>
      </c>
      <c r="D406" t="s">
        <v>26</v>
      </c>
      <c r="E406" t="s">
        <v>80</v>
      </c>
      <c r="F406">
        <v>5</v>
      </c>
      <c r="G406">
        <v>1644.8</v>
      </c>
      <c r="H406" s="5">
        <v>0.1</v>
      </c>
      <c r="I406" t="s">
        <v>22</v>
      </c>
      <c r="J406" t="s">
        <v>49</v>
      </c>
      <c r="K406" t="s">
        <v>18</v>
      </c>
      <c r="L406">
        <f>(F406*G406)-(F406*G406)*H406</f>
        <v>7401.6</v>
      </c>
      <c r="M406" s="2" t="str">
        <f t="shared" si="12"/>
        <v>Apr</v>
      </c>
      <c r="N406" s="2" t="str">
        <f t="shared" si="13"/>
        <v>low</v>
      </c>
      <c r="O406" s="2"/>
    </row>
    <row r="407" spans="1:15">
      <c r="A407" t="s">
        <v>465</v>
      </c>
      <c r="B407" s="1">
        <v>45413</v>
      </c>
      <c r="C407" t="s">
        <v>20</v>
      </c>
      <c r="D407" t="s">
        <v>57</v>
      </c>
      <c r="E407" t="s">
        <v>53</v>
      </c>
      <c r="F407">
        <v>6</v>
      </c>
      <c r="G407">
        <v>1016.34</v>
      </c>
      <c r="H407" s="5">
        <v>0.1</v>
      </c>
      <c r="I407" t="s">
        <v>16</v>
      </c>
      <c r="J407" t="s">
        <v>40</v>
      </c>
      <c r="K407" t="s">
        <v>33</v>
      </c>
      <c r="L407">
        <f>(F407*G407)-(F407*G407)*H407</f>
        <v>5488.2359999999999</v>
      </c>
      <c r="M407" s="2" t="str">
        <f t="shared" si="12"/>
        <v>May</v>
      </c>
      <c r="N407" s="2" t="str">
        <f t="shared" si="13"/>
        <v>low</v>
      </c>
      <c r="O407" s="2"/>
    </row>
    <row r="408" spans="1:15">
      <c r="A408" t="s">
        <v>466</v>
      </c>
      <c r="B408" s="1">
        <v>45583</v>
      </c>
      <c r="C408" t="s">
        <v>35</v>
      </c>
      <c r="D408" t="s">
        <v>97</v>
      </c>
      <c r="E408" t="s">
        <v>80</v>
      </c>
      <c r="F408">
        <v>6</v>
      </c>
      <c r="G408">
        <v>219.41</v>
      </c>
      <c r="H408" s="5">
        <v>0.2</v>
      </c>
      <c r="I408" t="s">
        <v>16</v>
      </c>
      <c r="J408" t="s">
        <v>23</v>
      </c>
      <c r="K408" t="s">
        <v>33</v>
      </c>
      <c r="L408">
        <f>(F408*G408)-(F408*G408)*H408</f>
        <v>1053.1680000000001</v>
      </c>
      <c r="M408" s="2" t="str">
        <f t="shared" si="12"/>
        <v>Oct</v>
      </c>
      <c r="N408" s="2" t="str">
        <f t="shared" si="13"/>
        <v>low</v>
      </c>
      <c r="O408" s="2"/>
    </row>
    <row r="409" spans="1:15">
      <c r="A409" t="s">
        <v>467</v>
      </c>
      <c r="B409" s="1">
        <v>45354</v>
      </c>
      <c r="C409" t="s">
        <v>20</v>
      </c>
      <c r="D409" t="s">
        <v>21</v>
      </c>
      <c r="E409" t="s">
        <v>1160</v>
      </c>
      <c r="F409">
        <v>3</v>
      </c>
      <c r="G409">
        <v>4745.96</v>
      </c>
      <c r="H409" s="5">
        <v>0.15</v>
      </c>
      <c r="I409" t="s">
        <v>22</v>
      </c>
      <c r="J409" t="s">
        <v>17</v>
      </c>
      <c r="K409" t="s">
        <v>18</v>
      </c>
      <c r="L409">
        <v>12102.2</v>
      </c>
      <c r="M409" s="2" t="str">
        <f t="shared" si="12"/>
        <v>Mar</v>
      </c>
      <c r="N409" s="2" t="str">
        <f t="shared" si="13"/>
        <v>medium</v>
      </c>
      <c r="O409" s="2"/>
    </row>
    <row r="410" spans="1:15">
      <c r="A410" t="s">
        <v>468</v>
      </c>
      <c r="B410" s="1">
        <v>45511</v>
      </c>
      <c r="C410" t="s">
        <v>13</v>
      </c>
      <c r="D410" t="s">
        <v>70</v>
      </c>
      <c r="E410" t="s">
        <v>47</v>
      </c>
      <c r="F410">
        <v>3</v>
      </c>
      <c r="G410">
        <v>6985.91</v>
      </c>
      <c r="H410" s="5">
        <v>0</v>
      </c>
      <c r="I410" t="s">
        <v>16</v>
      </c>
      <c r="J410" t="s">
        <v>23</v>
      </c>
      <c r="K410" t="s">
        <v>33</v>
      </c>
      <c r="L410">
        <v>20957.73</v>
      </c>
      <c r="M410" s="2" t="str">
        <f t="shared" si="12"/>
        <v>Aug</v>
      </c>
      <c r="N410" s="2" t="str">
        <f t="shared" si="13"/>
        <v>high</v>
      </c>
      <c r="O410" s="2"/>
    </row>
    <row r="411" spans="1:15">
      <c r="A411" t="s">
        <v>469</v>
      </c>
      <c r="B411" s="1">
        <v>45475</v>
      </c>
      <c r="C411" t="s">
        <v>13</v>
      </c>
      <c r="D411" t="s">
        <v>70</v>
      </c>
      <c r="E411" t="s">
        <v>47</v>
      </c>
      <c r="F411">
        <v>3</v>
      </c>
      <c r="G411">
        <v>2152.29</v>
      </c>
      <c r="H411" s="5">
        <v>0.05</v>
      </c>
      <c r="I411" t="s">
        <v>16</v>
      </c>
      <c r="J411" t="s">
        <v>23</v>
      </c>
      <c r="K411" t="s">
        <v>33</v>
      </c>
      <c r="L411">
        <v>6134.03</v>
      </c>
      <c r="M411" s="2" t="str">
        <f t="shared" si="12"/>
        <v>Jul</v>
      </c>
      <c r="N411" s="2" t="str">
        <f t="shared" si="13"/>
        <v>low</v>
      </c>
      <c r="O411" s="2"/>
    </row>
    <row r="412" spans="1:15">
      <c r="A412" t="s">
        <v>470</v>
      </c>
      <c r="B412" s="1">
        <v>45578</v>
      </c>
      <c r="C412" t="s">
        <v>25</v>
      </c>
      <c r="D412" t="s">
        <v>94</v>
      </c>
      <c r="E412" t="s">
        <v>53</v>
      </c>
      <c r="F412">
        <v>4</v>
      </c>
      <c r="G412">
        <v>3389.68</v>
      </c>
      <c r="H412" s="5">
        <v>0</v>
      </c>
      <c r="I412" t="s">
        <v>22</v>
      </c>
      <c r="J412" t="s">
        <v>23</v>
      </c>
      <c r="K412" t="s">
        <v>33</v>
      </c>
      <c r="L412">
        <v>13558.72</v>
      </c>
      <c r="M412" s="2" t="str">
        <f t="shared" si="12"/>
        <v>Oct</v>
      </c>
      <c r="N412" s="2" t="str">
        <f t="shared" si="13"/>
        <v>medium</v>
      </c>
      <c r="O412" s="2"/>
    </row>
    <row r="413" spans="1:15">
      <c r="A413" t="s">
        <v>471</v>
      </c>
      <c r="B413" s="1">
        <v>45593</v>
      </c>
      <c r="C413" t="s">
        <v>20</v>
      </c>
      <c r="D413" t="s">
        <v>21</v>
      </c>
      <c r="E413" t="s">
        <v>44</v>
      </c>
      <c r="F413">
        <v>4</v>
      </c>
      <c r="G413">
        <v>3520.44</v>
      </c>
      <c r="H413" s="5">
        <v>0.25</v>
      </c>
      <c r="I413" t="s">
        <v>16</v>
      </c>
      <c r="J413" t="s">
        <v>49</v>
      </c>
      <c r="K413" t="s">
        <v>33</v>
      </c>
      <c r="L413">
        <v>10561.32</v>
      </c>
      <c r="M413" s="2" t="str">
        <f t="shared" si="12"/>
        <v>Oct</v>
      </c>
      <c r="N413" s="2" t="str">
        <f t="shared" si="13"/>
        <v>medium</v>
      </c>
      <c r="O413" s="2"/>
    </row>
    <row r="414" spans="1:15">
      <c r="A414" t="s">
        <v>472</v>
      </c>
      <c r="B414" s="1">
        <v>45393</v>
      </c>
      <c r="C414" t="s">
        <v>35</v>
      </c>
      <c r="D414" t="s">
        <v>36</v>
      </c>
      <c r="E414" t="s">
        <v>47</v>
      </c>
      <c r="F414">
        <v>1</v>
      </c>
      <c r="G414">
        <v>2189.4299999999998</v>
      </c>
      <c r="H414" s="5">
        <v>0.15</v>
      </c>
      <c r="I414" t="s">
        <v>16</v>
      </c>
      <c r="J414" t="s">
        <v>17</v>
      </c>
      <c r="K414" t="s">
        <v>33</v>
      </c>
      <c r="L414">
        <v>1861.02</v>
      </c>
      <c r="M414" s="2" t="str">
        <f t="shared" si="12"/>
        <v>Apr</v>
      </c>
      <c r="N414" s="2" t="str">
        <f t="shared" si="13"/>
        <v>low</v>
      </c>
      <c r="O414" s="2"/>
    </row>
    <row r="415" spans="1:15">
      <c r="A415" t="s">
        <v>473</v>
      </c>
      <c r="B415" s="1">
        <v>45513</v>
      </c>
      <c r="C415" t="s">
        <v>20</v>
      </c>
      <c r="D415" t="s">
        <v>61</v>
      </c>
      <c r="E415" t="s">
        <v>27</v>
      </c>
      <c r="F415">
        <v>3</v>
      </c>
      <c r="G415">
        <v>7462.39</v>
      </c>
      <c r="H415" s="5">
        <v>0</v>
      </c>
      <c r="I415" t="s">
        <v>22</v>
      </c>
      <c r="J415" t="s">
        <v>23</v>
      </c>
      <c r="K415" t="s">
        <v>18</v>
      </c>
      <c r="L415">
        <v>22387.17</v>
      </c>
      <c r="M415" s="2" t="str">
        <f t="shared" si="12"/>
        <v>Aug</v>
      </c>
      <c r="N415" s="2" t="str">
        <f t="shared" si="13"/>
        <v>high</v>
      </c>
      <c r="O415" s="2"/>
    </row>
    <row r="416" spans="1:15">
      <c r="A416" t="s">
        <v>474</v>
      </c>
      <c r="B416" s="1">
        <v>45463</v>
      </c>
      <c r="C416" t="s">
        <v>13</v>
      </c>
      <c r="D416" t="s">
        <v>70</v>
      </c>
      <c r="E416" t="s">
        <v>32</v>
      </c>
      <c r="F416">
        <v>1</v>
      </c>
      <c r="G416">
        <v>954.3</v>
      </c>
      <c r="H416" s="5">
        <v>0.1</v>
      </c>
      <c r="I416" t="s">
        <v>28</v>
      </c>
      <c r="J416" t="s">
        <v>17</v>
      </c>
      <c r="K416" t="s">
        <v>18</v>
      </c>
      <c r="L416">
        <v>858.87</v>
      </c>
      <c r="M416" s="2" t="str">
        <f t="shared" si="12"/>
        <v>Jun</v>
      </c>
      <c r="N416" s="2" t="str">
        <f t="shared" si="13"/>
        <v>low</v>
      </c>
      <c r="O416" s="2"/>
    </row>
    <row r="417" spans="1:15">
      <c r="A417" t="s">
        <v>475</v>
      </c>
      <c r="B417" s="1">
        <v>45651</v>
      </c>
      <c r="C417" t="s">
        <v>20</v>
      </c>
      <c r="D417" t="s">
        <v>78</v>
      </c>
      <c r="E417" t="s">
        <v>32</v>
      </c>
      <c r="F417">
        <v>2</v>
      </c>
      <c r="G417">
        <v>5345.63</v>
      </c>
      <c r="H417" s="5">
        <v>0</v>
      </c>
      <c r="I417" t="s">
        <v>16</v>
      </c>
      <c r="J417" t="s">
        <v>23</v>
      </c>
      <c r="K417" t="s">
        <v>33</v>
      </c>
      <c r="L417">
        <v>10691.26</v>
      </c>
      <c r="M417" s="2" t="str">
        <f t="shared" si="12"/>
        <v>Dec</v>
      </c>
      <c r="N417" s="2" t="str">
        <f t="shared" si="13"/>
        <v>medium</v>
      </c>
      <c r="O417" s="2"/>
    </row>
    <row r="418" spans="1:15">
      <c r="A418" t="s">
        <v>476</v>
      </c>
      <c r="B418" s="1">
        <v>45497</v>
      </c>
      <c r="C418" t="s">
        <v>13</v>
      </c>
      <c r="D418" t="s">
        <v>14</v>
      </c>
      <c r="E418" t="s">
        <v>32</v>
      </c>
      <c r="F418">
        <v>4</v>
      </c>
      <c r="G418">
        <v>5554.15</v>
      </c>
      <c r="H418" s="5">
        <v>0.2</v>
      </c>
      <c r="I418" t="s">
        <v>16</v>
      </c>
      <c r="J418" t="s">
        <v>40</v>
      </c>
      <c r="K418" t="s">
        <v>33</v>
      </c>
      <c r="L418">
        <v>17773.28</v>
      </c>
      <c r="M418" s="2" t="str">
        <f t="shared" si="12"/>
        <v>Jul</v>
      </c>
      <c r="N418" s="2" t="str">
        <f t="shared" si="13"/>
        <v>medium</v>
      </c>
      <c r="O418" s="2"/>
    </row>
    <row r="419" spans="1:15">
      <c r="A419" t="s">
        <v>477</v>
      </c>
      <c r="B419" s="1">
        <v>45391</v>
      </c>
      <c r="C419" t="s">
        <v>25</v>
      </c>
      <c r="D419" t="s">
        <v>87</v>
      </c>
      <c r="E419" t="s">
        <v>27</v>
      </c>
      <c r="F419">
        <v>1</v>
      </c>
      <c r="G419">
        <v>5408.12</v>
      </c>
      <c r="H419" s="5">
        <v>0.25</v>
      </c>
      <c r="I419" t="s">
        <v>28</v>
      </c>
      <c r="J419" t="s">
        <v>17</v>
      </c>
      <c r="K419" t="s">
        <v>33</v>
      </c>
      <c r="L419">
        <v>4056.09</v>
      </c>
      <c r="M419" s="2" t="str">
        <f t="shared" si="12"/>
        <v>Apr</v>
      </c>
      <c r="N419" s="2" t="str">
        <f t="shared" si="13"/>
        <v>low</v>
      </c>
      <c r="O419" s="2"/>
    </row>
    <row r="420" spans="1:15">
      <c r="A420" t="s">
        <v>478</v>
      </c>
      <c r="B420" s="1">
        <v>45515</v>
      </c>
      <c r="C420" t="s">
        <v>20</v>
      </c>
      <c r="D420" t="s">
        <v>21</v>
      </c>
      <c r="E420" t="s">
        <v>44</v>
      </c>
      <c r="F420">
        <v>2</v>
      </c>
      <c r="G420">
        <v>5330.9</v>
      </c>
      <c r="H420" s="5">
        <v>0</v>
      </c>
      <c r="I420" t="s">
        <v>22</v>
      </c>
      <c r="J420" t="s">
        <v>40</v>
      </c>
      <c r="K420" t="s">
        <v>18</v>
      </c>
      <c r="L420">
        <v>10661.8</v>
      </c>
      <c r="M420" s="2" t="str">
        <f t="shared" si="12"/>
        <v>Aug</v>
      </c>
      <c r="N420" s="2" t="str">
        <f t="shared" si="13"/>
        <v>medium</v>
      </c>
      <c r="O420" s="2"/>
    </row>
    <row r="421" spans="1:15">
      <c r="A421" t="s">
        <v>479</v>
      </c>
      <c r="B421" s="1">
        <v>45405</v>
      </c>
      <c r="C421" t="s">
        <v>13</v>
      </c>
      <c r="D421" t="s">
        <v>14</v>
      </c>
      <c r="E421" t="s">
        <v>32</v>
      </c>
      <c r="F421">
        <v>5</v>
      </c>
      <c r="G421">
        <v>7595.13</v>
      </c>
      <c r="H421" s="5">
        <v>0.1</v>
      </c>
      <c r="I421" t="s">
        <v>16</v>
      </c>
      <c r="J421" t="s">
        <v>23</v>
      </c>
      <c r="K421" t="s">
        <v>33</v>
      </c>
      <c r="L421">
        <v>34178.080000000002</v>
      </c>
      <c r="M421" s="2" t="str">
        <f t="shared" si="12"/>
        <v>Apr</v>
      </c>
      <c r="N421" s="2" t="str">
        <f t="shared" si="13"/>
        <v>high</v>
      </c>
      <c r="O421" s="2"/>
    </row>
    <row r="422" spans="1:15">
      <c r="A422" t="s">
        <v>480</v>
      </c>
      <c r="B422" s="1">
        <v>45359</v>
      </c>
      <c r="C422" t="s">
        <v>38</v>
      </c>
      <c r="D422" t="s">
        <v>164</v>
      </c>
      <c r="E422" t="s">
        <v>32</v>
      </c>
      <c r="F422">
        <v>1</v>
      </c>
      <c r="G422">
        <v>4419.6099999999997</v>
      </c>
      <c r="H422" s="5">
        <v>0.2</v>
      </c>
      <c r="I422" t="s">
        <v>16</v>
      </c>
      <c r="J422" t="s">
        <v>40</v>
      </c>
      <c r="K422" t="s">
        <v>33</v>
      </c>
      <c r="L422">
        <v>3535.69</v>
      </c>
      <c r="M422" s="2" t="str">
        <f t="shared" si="12"/>
        <v>Mar</v>
      </c>
      <c r="N422" s="2" t="str">
        <f t="shared" si="13"/>
        <v>low</v>
      </c>
      <c r="O422" s="2"/>
    </row>
    <row r="423" spans="1:15">
      <c r="A423" t="s">
        <v>481</v>
      </c>
      <c r="B423" s="1">
        <v>45370</v>
      </c>
      <c r="C423" t="s">
        <v>35</v>
      </c>
      <c r="D423" t="s">
        <v>63</v>
      </c>
      <c r="E423" t="s">
        <v>32</v>
      </c>
      <c r="F423">
        <v>1</v>
      </c>
      <c r="G423">
        <v>7011.72</v>
      </c>
      <c r="H423" s="5">
        <v>0</v>
      </c>
      <c r="I423" t="s">
        <v>16</v>
      </c>
      <c r="J423" t="s">
        <v>49</v>
      </c>
      <c r="K423" t="s">
        <v>33</v>
      </c>
      <c r="L423">
        <v>7011.72</v>
      </c>
      <c r="M423" s="2" t="str">
        <f t="shared" si="12"/>
        <v>Mar</v>
      </c>
      <c r="N423" s="2" t="str">
        <f t="shared" si="13"/>
        <v>low</v>
      </c>
      <c r="O423" s="2"/>
    </row>
    <row r="424" spans="1:15">
      <c r="A424" t="s">
        <v>482</v>
      </c>
      <c r="B424" s="1">
        <v>45451</v>
      </c>
      <c r="C424" t="s">
        <v>25</v>
      </c>
      <c r="D424" t="s">
        <v>94</v>
      </c>
      <c r="E424" t="s">
        <v>1160</v>
      </c>
      <c r="F424">
        <v>5</v>
      </c>
      <c r="G424">
        <v>1752.73</v>
      </c>
      <c r="H424" s="5">
        <v>0.15</v>
      </c>
      <c r="I424" t="s">
        <v>16</v>
      </c>
      <c r="J424" t="s">
        <v>29</v>
      </c>
      <c r="K424" t="s">
        <v>33</v>
      </c>
      <c r="L424">
        <v>7449.1</v>
      </c>
      <c r="M424" s="2" t="str">
        <f t="shared" si="12"/>
        <v>Jun</v>
      </c>
      <c r="N424" s="2" t="str">
        <f t="shared" si="13"/>
        <v>low</v>
      </c>
      <c r="O424" s="2"/>
    </row>
    <row r="425" spans="1:15">
      <c r="A425" t="s">
        <v>483</v>
      </c>
      <c r="B425" s="1">
        <v>45512</v>
      </c>
      <c r="C425" t="s">
        <v>25</v>
      </c>
      <c r="D425" t="s">
        <v>31</v>
      </c>
      <c r="E425" t="s">
        <v>15</v>
      </c>
      <c r="F425">
        <v>6</v>
      </c>
      <c r="G425">
        <v>4842.68</v>
      </c>
      <c r="H425" s="5">
        <v>0</v>
      </c>
      <c r="I425" t="s">
        <v>28</v>
      </c>
      <c r="J425" t="s">
        <v>29</v>
      </c>
      <c r="K425" t="s">
        <v>33</v>
      </c>
      <c r="L425">
        <v>29056.080000000002</v>
      </c>
      <c r="M425" s="2" t="str">
        <f t="shared" si="12"/>
        <v>Aug</v>
      </c>
      <c r="N425" s="2" t="str">
        <f t="shared" si="13"/>
        <v>high</v>
      </c>
      <c r="O425" s="2"/>
    </row>
    <row r="426" spans="1:15">
      <c r="A426" t="s">
        <v>484</v>
      </c>
      <c r="B426" s="1">
        <v>45570</v>
      </c>
      <c r="C426" t="s">
        <v>20</v>
      </c>
      <c r="D426" t="s">
        <v>57</v>
      </c>
      <c r="E426" t="s">
        <v>15</v>
      </c>
      <c r="F426">
        <v>3</v>
      </c>
      <c r="G426">
        <v>2450.62</v>
      </c>
      <c r="H426" s="5">
        <v>0</v>
      </c>
      <c r="I426" t="s">
        <v>16</v>
      </c>
      <c r="J426" t="s">
        <v>29</v>
      </c>
      <c r="K426" t="s">
        <v>33</v>
      </c>
      <c r="L426">
        <v>7351.86</v>
      </c>
      <c r="M426" s="2" t="str">
        <f t="shared" si="12"/>
        <v>Oct</v>
      </c>
      <c r="N426" s="2" t="str">
        <f t="shared" si="13"/>
        <v>low</v>
      </c>
      <c r="O426" s="2"/>
    </row>
    <row r="427" spans="1:15">
      <c r="A427" t="s">
        <v>485</v>
      </c>
      <c r="B427" s="1">
        <v>45476</v>
      </c>
      <c r="C427" t="s">
        <v>38</v>
      </c>
      <c r="D427" t="s">
        <v>100</v>
      </c>
      <c r="E427" t="s">
        <v>53</v>
      </c>
      <c r="F427">
        <v>6</v>
      </c>
      <c r="G427">
        <v>5285.1</v>
      </c>
      <c r="H427" s="5">
        <v>0.1</v>
      </c>
      <c r="I427" t="s">
        <v>55</v>
      </c>
      <c r="J427" t="s">
        <v>29</v>
      </c>
      <c r="K427" t="s">
        <v>18</v>
      </c>
      <c r="L427">
        <v>28539.54</v>
      </c>
      <c r="M427" s="2" t="str">
        <f t="shared" si="12"/>
        <v>Jul</v>
      </c>
      <c r="N427" s="2" t="str">
        <f t="shared" si="13"/>
        <v>high</v>
      </c>
      <c r="O427" s="2"/>
    </row>
    <row r="428" spans="1:15">
      <c r="A428" t="s">
        <v>486</v>
      </c>
      <c r="B428" s="1">
        <v>45308</v>
      </c>
      <c r="C428" t="s">
        <v>13</v>
      </c>
      <c r="D428" t="s">
        <v>108</v>
      </c>
      <c r="E428" t="s">
        <v>15</v>
      </c>
      <c r="F428">
        <v>4</v>
      </c>
      <c r="G428">
        <v>7701.54</v>
      </c>
      <c r="H428" s="5">
        <v>0.1</v>
      </c>
      <c r="I428" t="s">
        <v>16</v>
      </c>
      <c r="J428" t="s">
        <v>23</v>
      </c>
      <c r="K428" t="s">
        <v>33</v>
      </c>
      <c r="L428">
        <v>27725.54</v>
      </c>
      <c r="M428" s="2" t="str">
        <f t="shared" si="12"/>
        <v>Jan</v>
      </c>
      <c r="N428" s="2" t="str">
        <f t="shared" si="13"/>
        <v>high</v>
      </c>
      <c r="O428" s="2"/>
    </row>
    <row r="429" spans="1:15">
      <c r="A429" t="s">
        <v>487</v>
      </c>
      <c r="B429" s="1">
        <v>45430</v>
      </c>
      <c r="C429" t="s">
        <v>35</v>
      </c>
      <c r="D429" t="s">
        <v>97</v>
      </c>
      <c r="E429" t="s">
        <v>1160</v>
      </c>
      <c r="F429">
        <v>4</v>
      </c>
      <c r="G429">
        <v>489.34</v>
      </c>
      <c r="H429" s="5">
        <v>0.05</v>
      </c>
      <c r="I429" t="s">
        <v>16</v>
      </c>
      <c r="J429" t="s">
        <v>29</v>
      </c>
      <c r="K429" t="s">
        <v>33</v>
      </c>
      <c r="L429">
        <v>1859.49</v>
      </c>
      <c r="M429" s="2" t="str">
        <f t="shared" si="12"/>
        <v>May</v>
      </c>
      <c r="N429" s="2" t="str">
        <f t="shared" si="13"/>
        <v>low</v>
      </c>
      <c r="O429" s="2"/>
    </row>
    <row r="430" spans="1:15">
      <c r="A430" t="s">
        <v>488</v>
      </c>
      <c r="B430" s="1">
        <v>45435</v>
      </c>
      <c r="C430" t="s">
        <v>20</v>
      </c>
      <c r="D430" t="s">
        <v>61</v>
      </c>
      <c r="E430" t="s">
        <v>80</v>
      </c>
      <c r="F430">
        <v>1</v>
      </c>
      <c r="G430">
        <v>7388.28</v>
      </c>
      <c r="H430" s="5">
        <v>0.1</v>
      </c>
      <c r="I430" t="s">
        <v>16</v>
      </c>
      <c r="J430" t="s">
        <v>23</v>
      </c>
      <c r="K430" t="s">
        <v>33</v>
      </c>
      <c r="L430">
        <v>6649.45</v>
      </c>
      <c r="M430" s="2" t="str">
        <f t="shared" si="12"/>
        <v>May</v>
      </c>
      <c r="N430" s="2" t="str">
        <f t="shared" si="13"/>
        <v>low</v>
      </c>
      <c r="O430" s="2"/>
    </row>
    <row r="431" spans="1:15">
      <c r="A431" t="s">
        <v>489</v>
      </c>
      <c r="B431" s="1">
        <v>45431</v>
      </c>
      <c r="C431" t="s">
        <v>25</v>
      </c>
      <c r="D431" t="s">
        <v>31</v>
      </c>
      <c r="E431" t="s">
        <v>53</v>
      </c>
      <c r="F431">
        <v>4</v>
      </c>
      <c r="G431">
        <v>4157.51</v>
      </c>
      <c r="H431" s="5">
        <v>0.1</v>
      </c>
      <c r="I431" t="s">
        <v>16</v>
      </c>
      <c r="J431" t="s">
        <v>40</v>
      </c>
      <c r="K431" t="s">
        <v>33</v>
      </c>
      <c r="L431">
        <v>14967.04</v>
      </c>
      <c r="M431" s="2" t="str">
        <f t="shared" si="12"/>
        <v>May</v>
      </c>
      <c r="N431" s="2" t="str">
        <f t="shared" si="13"/>
        <v>medium</v>
      </c>
      <c r="O431" s="2"/>
    </row>
    <row r="432" spans="1:15">
      <c r="A432" t="s">
        <v>490</v>
      </c>
      <c r="B432" s="1">
        <v>45611</v>
      </c>
      <c r="C432" t="s">
        <v>13</v>
      </c>
      <c r="D432" t="s">
        <v>14</v>
      </c>
      <c r="E432" t="s">
        <v>32</v>
      </c>
      <c r="F432">
        <v>6</v>
      </c>
      <c r="G432">
        <v>1629.1</v>
      </c>
      <c r="H432" s="5">
        <v>0</v>
      </c>
      <c r="I432" t="s">
        <v>28</v>
      </c>
      <c r="J432" t="s">
        <v>23</v>
      </c>
      <c r="K432" t="s">
        <v>33</v>
      </c>
      <c r="L432">
        <v>9774.6</v>
      </c>
      <c r="M432" s="2" t="str">
        <f t="shared" si="12"/>
        <v>Nov</v>
      </c>
      <c r="N432" s="2" t="str">
        <f t="shared" si="13"/>
        <v>low</v>
      </c>
      <c r="O432" s="2"/>
    </row>
    <row r="433" spans="1:15">
      <c r="A433" t="s">
        <v>491</v>
      </c>
      <c r="B433" s="1">
        <v>45354</v>
      </c>
      <c r="C433" t="s">
        <v>38</v>
      </c>
      <c r="D433" t="s">
        <v>51</v>
      </c>
      <c r="E433" t="s">
        <v>80</v>
      </c>
      <c r="F433">
        <v>1</v>
      </c>
      <c r="G433">
        <v>4637.28</v>
      </c>
      <c r="H433" s="5">
        <v>0</v>
      </c>
      <c r="I433" t="s">
        <v>28</v>
      </c>
      <c r="J433" t="s">
        <v>29</v>
      </c>
      <c r="K433" t="s">
        <v>18</v>
      </c>
      <c r="L433">
        <v>4637.28</v>
      </c>
      <c r="M433" s="2" t="str">
        <f t="shared" si="12"/>
        <v>Mar</v>
      </c>
      <c r="N433" s="2" t="str">
        <f t="shared" si="13"/>
        <v>low</v>
      </c>
      <c r="O433" s="2"/>
    </row>
    <row r="434" spans="1:15">
      <c r="A434" t="s">
        <v>492</v>
      </c>
      <c r="B434" s="1">
        <v>45496</v>
      </c>
      <c r="C434" t="s">
        <v>20</v>
      </c>
      <c r="D434" t="s">
        <v>21</v>
      </c>
      <c r="E434" t="s">
        <v>80</v>
      </c>
      <c r="F434">
        <v>2</v>
      </c>
      <c r="G434">
        <v>5282.96</v>
      </c>
      <c r="H434" s="5">
        <v>0.2</v>
      </c>
      <c r="I434" t="s">
        <v>16</v>
      </c>
      <c r="J434" t="s">
        <v>49</v>
      </c>
      <c r="K434" t="s">
        <v>33</v>
      </c>
      <c r="L434">
        <v>8452.74</v>
      </c>
      <c r="M434" s="2" t="str">
        <f t="shared" si="12"/>
        <v>Jul</v>
      </c>
      <c r="N434" s="2" t="str">
        <f t="shared" si="13"/>
        <v>low</v>
      </c>
      <c r="O434" s="2"/>
    </row>
    <row r="435" spans="1:15">
      <c r="A435" t="s">
        <v>493</v>
      </c>
      <c r="B435" s="1">
        <v>45531</v>
      </c>
      <c r="C435" t="s">
        <v>13</v>
      </c>
      <c r="D435" t="s">
        <v>74</v>
      </c>
      <c r="E435" t="s">
        <v>44</v>
      </c>
      <c r="F435">
        <v>1</v>
      </c>
      <c r="G435">
        <v>576.87</v>
      </c>
      <c r="H435" s="5">
        <v>0.2</v>
      </c>
      <c r="I435" t="s">
        <v>55</v>
      </c>
      <c r="J435" t="s">
        <v>49</v>
      </c>
      <c r="K435" t="s">
        <v>33</v>
      </c>
      <c r="L435">
        <v>461.5</v>
      </c>
      <c r="M435" s="2" t="str">
        <f t="shared" si="12"/>
        <v>Aug</v>
      </c>
      <c r="N435" s="2" t="str">
        <f t="shared" si="13"/>
        <v>low</v>
      </c>
      <c r="O435" s="2"/>
    </row>
    <row r="436" spans="1:15">
      <c r="A436" t="s">
        <v>494</v>
      </c>
      <c r="B436" s="1">
        <v>45517</v>
      </c>
      <c r="C436" t="s">
        <v>20</v>
      </c>
      <c r="D436" t="s">
        <v>21</v>
      </c>
      <c r="E436" t="s">
        <v>27</v>
      </c>
      <c r="F436">
        <v>1</v>
      </c>
      <c r="G436">
        <v>2588.75</v>
      </c>
      <c r="H436" s="5">
        <v>0.1</v>
      </c>
      <c r="I436" t="s">
        <v>22</v>
      </c>
      <c r="J436" t="s">
        <v>17</v>
      </c>
      <c r="K436" t="s">
        <v>33</v>
      </c>
      <c r="L436">
        <v>2329.88</v>
      </c>
      <c r="M436" s="2" t="str">
        <f t="shared" si="12"/>
        <v>Aug</v>
      </c>
      <c r="N436" s="2" t="str">
        <f t="shared" si="13"/>
        <v>low</v>
      </c>
      <c r="O436" s="2"/>
    </row>
    <row r="437" spans="1:15">
      <c r="A437" t="s">
        <v>495</v>
      </c>
      <c r="B437" s="1">
        <v>45651</v>
      </c>
      <c r="C437" t="s">
        <v>25</v>
      </c>
      <c r="D437" t="s">
        <v>87</v>
      </c>
      <c r="E437" t="s">
        <v>27</v>
      </c>
      <c r="F437">
        <v>3</v>
      </c>
      <c r="G437">
        <v>4201.42</v>
      </c>
      <c r="H437" s="5">
        <v>0.05</v>
      </c>
      <c r="I437" t="s">
        <v>16</v>
      </c>
      <c r="J437" t="s">
        <v>23</v>
      </c>
      <c r="K437" t="s">
        <v>33</v>
      </c>
      <c r="L437">
        <v>11974.05</v>
      </c>
      <c r="M437" s="2" t="str">
        <f t="shared" si="12"/>
        <v>Dec</v>
      </c>
      <c r="N437" s="2" t="str">
        <f t="shared" si="13"/>
        <v>medium</v>
      </c>
      <c r="O437" s="2"/>
    </row>
    <row r="438" spans="1:15">
      <c r="A438" t="s">
        <v>496</v>
      </c>
      <c r="B438" s="1">
        <v>45600</v>
      </c>
      <c r="C438" t="s">
        <v>38</v>
      </c>
      <c r="D438" t="s">
        <v>100</v>
      </c>
      <c r="E438" t="s">
        <v>80</v>
      </c>
      <c r="F438">
        <v>5</v>
      </c>
      <c r="G438">
        <v>4540.2</v>
      </c>
      <c r="H438" s="5">
        <v>0.1</v>
      </c>
      <c r="I438" t="s">
        <v>16</v>
      </c>
      <c r="J438" t="s">
        <v>29</v>
      </c>
      <c r="K438" t="s">
        <v>33</v>
      </c>
      <c r="L438">
        <v>20430.900000000001</v>
      </c>
      <c r="M438" s="2" t="str">
        <f t="shared" si="12"/>
        <v>Nov</v>
      </c>
      <c r="N438" s="2" t="str">
        <f t="shared" si="13"/>
        <v>high</v>
      </c>
      <c r="O438" s="2"/>
    </row>
    <row r="439" spans="1:15">
      <c r="A439" t="s">
        <v>497</v>
      </c>
      <c r="B439" s="1">
        <v>45465</v>
      </c>
      <c r="C439" t="s">
        <v>20</v>
      </c>
      <c r="D439" t="s">
        <v>59</v>
      </c>
      <c r="E439" t="s">
        <v>53</v>
      </c>
      <c r="F439">
        <v>2</v>
      </c>
      <c r="G439">
        <v>3426.67</v>
      </c>
      <c r="H439" s="5">
        <v>0.15</v>
      </c>
      <c r="I439" t="s">
        <v>16</v>
      </c>
      <c r="J439" t="s">
        <v>17</v>
      </c>
      <c r="K439" t="s">
        <v>33</v>
      </c>
      <c r="L439">
        <v>5825.34</v>
      </c>
      <c r="M439" s="2" t="str">
        <f t="shared" si="12"/>
        <v>Jun</v>
      </c>
      <c r="N439" s="2" t="str">
        <f t="shared" si="13"/>
        <v>low</v>
      </c>
      <c r="O439" s="2"/>
    </row>
    <row r="440" spans="1:15">
      <c r="A440" t="s">
        <v>498</v>
      </c>
      <c r="B440" s="1">
        <v>45380</v>
      </c>
      <c r="C440" t="s">
        <v>38</v>
      </c>
      <c r="D440" t="s">
        <v>100</v>
      </c>
      <c r="E440" t="s">
        <v>1160</v>
      </c>
      <c r="F440">
        <v>6</v>
      </c>
      <c r="G440">
        <v>3739.45</v>
      </c>
      <c r="H440" s="5">
        <v>0.15</v>
      </c>
      <c r="I440" t="s">
        <v>22</v>
      </c>
      <c r="J440" t="s">
        <v>17</v>
      </c>
      <c r="K440" t="s">
        <v>18</v>
      </c>
      <c r="L440">
        <v>19071.189999999999</v>
      </c>
      <c r="M440" s="2" t="str">
        <f t="shared" si="12"/>
        <v>Mar</v>
      </c>
      <c r="N440" s="2" t="str">
        <f t="shared" si="13"/>
        <v>medium</v>
      </c>
      <c r="O440" s="2"/>
    </row>
    <row r="441" spans="1:15">
      <c r="A441" t="s">
        <v>499</v>
      </c>
      <c r="B441" s="1">
        <v>45393</v>
      </c>
      <c r="C441" t="s">
        <v>38</v>
      </c>
      <c r="D441" t="s">
        <v>51</v>
      </c>
      <c r="E441" t="s">
        <v>44</v>
      </c>
      <c r="F441">
        <v>5</v>
      </c>
      <c r="G441">
        <v>1507.98</v>
      </c>
      <c r="H441" s="5">
        <v>0.05</v>
      </c>
      <c r="I441" t="s">
        <v>22</v>
      </c>
      <c r="J441" t="s">
        <v>23</v>
      </c>
      <c r="K441" t="s">
        <v>33</v>
      </c>
      <c r="L441">
        <v>7162.9</v>
      </c>
      <c r="M441" s="2" t="str">
        <f t="shared" si="12"/>
        <v>Apr</v>
      </c>
      <c r="N441" s="2" t="str">
        <f t="shared" si="13"/>
        <v>low</v>
      </c>
      <c r="O441" s="2"/>
    </row>
    <row r="442" spans="1:15">
      <c r="A442" t="s">
        <v>500</v>
      </c>
      <c r="B442" s="1">
        <v>45539</v>
      </c>
      <c r="C442" t="s">
        <v>13</v>
      </c>
      <c r="D442" t="s">
        <v>70</v>
      </c>
      <c r="E442" t="s">
        <v>47</v>
      </c>
      <c r="F442">
        <v>6</v>
      </c>
      <c r="G442">
        <v>4990.22</v>
      </c>
      <c r="H442" s="5">
        <v>0.05</v>
      </c>
      <c r="I442" t="s">
        <v>16</v>
      </c>
      <c r="J442" t="s">
        <v>49</v>
      </c>
      <c r="K442" t="s">
        <v>33</v>
      </c>
      <c r="L442">
        <v>28444.25</v>
      </c>
      <c r="M442" s="2" t="str">
        <f t="shared" si="12"/>
        <v>Sep</v>
      </c>
      <c r="N442" s="2" t="str">
        <f t="shared" si="13"/>
        <v>high</v>
      </c>
      <c r="O442" s="2"/>
    </row>
    <row r="443" spans="1:15">
      <c r="A443" t="s">
        <v>501</v>
      </c>
      <c r="B443" s="1">
        <v>45478</v>
      </c>
      <c r="C443" t="s">
        <v>38</v>
      </c>
      <c r="D443" t="s">
        <v>100</v>
      </c>
      <c r="E443" t="s">
        <v>47</v>
      </c>
      <c r="F443">
        <v>4</v>
      </c>
      <c r="G443">
        <v>3670.53</v>
      </c>
      <c r="H443" s="5">
        <v>0.05</v>
      </c>
      <c r="I443" t="s">
        <v>16</v>
      </c>
      <c r="J443" t="s">
        <v>49</v>
      </c>
      <c r="K443" t="s">
        <v>33</v>
      </c>
      <c r="L443">
        <v>13948.01</v>
      </c>
      <c r="M443" s="2" t="str">
        <f t="shared" si="12"/>
        <v>Jul</v>
      </c>
      <c r="N443" s="2" t="str">
        <f t="shared" si="13"/>
        <v>medium</v>
      </c>
      <c r="O443" s="2"/>
    </row>
    <row r="444" spans="1:15">
      <c r="A444" t="s">
        <v>502</v>
      </c>
      <c r="B444" s="1">
        <v>45558</v>
      </c>
      <c r="C444" t="s">
        <v>13</v>
      </c>
      <c r="D444" t="s">
        <v>76</v>
      </c>
      <c r="E444" t="s">
        <v>47</v>
      </c>
      <c r="F444">
        <v>1</v>
      </c>
      <c r="G444">
        <v>273.67</v>
      </c>
      <c r="H444" s="5">
        <v>0.1</v>
      </c>
      <c r="I444" t="s">
        <v>55</v>
      </c>
      <c r="J444" t="s">
        <v>23</v>
      </c>
      <c r="K444" t="s">
        <v>33</v>
      </c>
      <c r="L444">
        <v>246.3</v>
      </c>
      <c r="M444" s="2" t="str">
        <f t="shared" si="12"/>
        <v>Sep</v>
      </c>
      <c r="N444" s="2" t="str">
        <f t="shared" si="13"/>
        <v>low</v>
      </c>
      <c r="O444" s="2"/>
    </row>
    <row r="445" spans="1:15">
      <c r="A445" t="s">
        <v>503</v>
      </c>
      <c r="B445" s="1">
        <v>45359</v>
      </c>
      <c r="C445" t="s">
        <v>13</v>
      </c>
      <c r="D445" t="s">
        <v>108</v>
      </c>
      <c r="E445" t="s">
        <v>32</v>
      </c>
      <c r="F445">
        <v>3</v>
      </c>
      <c r="G445">
        <v>3075.86</v>
      </c>
      <c r="H445" s="5">
        <v>0</v>
      </c>
      <c r="I445" t="s">
        <v>16</v>
      </c>
      <c r="J445" t="s">
        <v>29</v>
      </c>
      <c r="K445" t="s">
        <v>33</v>
      </c>
      <c r="L445">
        <v>9227.58</v>
      </c>
      <c r="M445" s="2" t="str">
        <f t="shared" si="12"/>
        <v>Mar</v>
      </c>
      <c r="N445" s="2" t="str">
        <f t="shared" si="13"/>
        <v>low</v>
      </c>
      <c r="O445" s="2"/>
    </row>
    <row r="446" spans="1:15">
      <c r="A446" t="s">
        <v>504</v>
      </c>
      <c r="B446" s="1">
        <v>45600</v>
      </c>
      <c r="C446" t="s">
        <v>35</v>
      </c>
      <c r="D446" t="s">
        <v>63</v>
      </c>
      <c r="E446" t="s">
        <v>44</v>
      </c>
      <c r="F446">
        <v>3</v>
      </c>
      <c r="G446">
        <v>4491.51</v>
      </c>
      <c r="H446" s="5">
        <v>0</v>
      </c>
      <c r="I446" t="s">
        <v>16</v>
      </c>
      <c r="J446" t="s">
        <v>49</v>
      </c>
      <c r="K446" t="s">
        <v>33</v>
      </c>
      <c r="L446">
        <v>13474.53</v>
      </c>
      <c r="M446" s="2" t="str">
        <f t="shared" si="12"/>
        <v>Nov</v>
      </c>
      <c r="N446" s="2" t="str">
        <f t="shared" si="13"/>
        <v>medium</v>
      </c>
      <c r="O446" s="2"/>
    </row>
    <row r="447" spans="1:15">
      <c r="A447" t="s">
        <v>505</v>
      </c>
      <c r="B447" s="1">
        <v>45487</v>
      </c>
      <c r="C447" t="s">
        <v>25</v>
      </c>
      <c r="D447" t="s">
        <v>94</v>
      </c>
      <c r="E447" t="s">
        <v>47</v>
      </c>
      <c r="F447">
        <v>6</v>
      </c>
      <c r="G447">
        <v>4411.04</v>
      </c>
      <c r="H447" s="5">
        <v>0.2</v>
      </c>
      <c r="I447" t="s">
        <v>55</v>
      </c>
      <c r="J447" t="s">
        <v>49</v>
      </c>
      <c r="K447" t="s">
        <v>33</v>
      </c>
      <c r="L447">
        <v>21172.99</v>
      </c>
      <c r="M447" s="2" t="str">
        <f t="shared" si="12"/>
        <v>Jul</v>
      </c>
      <c r="N447" s="2" t="str">
        <f t="shared" si="13"/>
        <v>high</v>
      </c>
      <c r="O447" s="2"/>
    </row>
    <row r="448" spans="1:15">
      <c r="A448" t="s">
        <v>506</v>
      </c>
      <c r="B448" s="1">
        <v>45315</v>
      </c>
      <c r="C448" t="s">
        <v>20</v>
      </c>
      <c r="D448" t="s">
        <v>59</v>
      </c>
      <c r="E448" t="s">
        <v>15</v>
      </c>
      <c r="F448">
        <v>2</v>
      </c>
      <c r="G448">
        <v>895.55</v>
      </c>
      <c r="H448" s="5">
        <v>0.25</v>
      </c>
      <c r="I448" t="s">
        <v>16</v>
      </c>
      <c r="J448" t="s">
        <v>29</v>
      </c>
      <c r="K448" t="s">
        <v>33</v>
      </c>
      <c r="L448">
        <v>1343.32</v>
      </c>
      <c r="M448" s="2" t="str">
        <f t="shared" si="12"/>
        <v>Jan</v>
      </c>
      <c r="N448" s="2" t="str">
        <f t="shared" si="13"/>
        <v>low</v>
      </c>
      <c r="O448" s="2"/>
    </row>
    <row r="449" spans="1:15">
      <c r="A449" t="s">
        <v>507</v>
      </c>
      <c r="B449" s="1">
        <v>45546</v>
      </c>
      <c r="C449" t="s">
        <v>20</v>
      </c>
      <c r="D449" t="s">
        <v>61</v>
      </c>
      <c r="E449" t="s">
        <v>80</v>
      </c>
      <c r="F449">
        <v>6</v>
      </c>
      <c r="G449">
        <v>7311.34</v>
      </c>
      <c r="H449" s="5">
        <v>0.2</v>
      </c>
      <c r="I449" t="s">
        <v>16</v>
      </c>
      <c r="J449" t="s">
        <v>49</v>
      </c>
      <c r="K449" t="s">
        <v>33</v>
      </c>
      <c r="L449">
        <v>35094.43</v>
      </c>
      <c r="M449" s="2" t="str">
        <f t="shared" si="12"/>
        <v>Sep</v>
      </c>
      <c r="N449" s="2" t="str">
        <f t="shared" si="13"/>
        <v>high</v>
      </c>
      <c r="O449" s="2"/>
    </row>
    <row r="450" spans="1:15">
      <c r="A450" t="s">
        <v>508</v>
      </c>
      <c r="B450" s="1">
        <v>45584</v>
      </c>
      <c r="C450" t="s">
        <v>20</v>
      </c>
      <c r="D450" t="s">
        <v>61</v>
      </c>
      <c r="E450" t="s">
        <v>80</v>
      </c>
      <c r="F450">
        <v>1</v>
      </c>
      <c r="G450">
        <v>2219.9299999999998</v>
      </c>
      <c r="H450" s="5">
        <v>0.15</v>
      </c>
      <c r="I450" t="s">
        <v>22</v>
      </c>
      <c r="J450" t="s">
        <v>29</v>
      </c>
      <c r="K450" t="s">
        <v>33</v>
      </c>
      <c r="L450">
        <v>1886.94</v>
      </c>
      <c r="M450" s="2" t="str">
        <f t="shared" ref="M450:M513" si="14">TEXT(B450,"mmm")</f>
        <v>Oct</v>
      </c>
      <c r="N450" s="2" t="str">
        <f t="shared" ref="N450:N513" si="15">IF(L450&gt;20000,"high",IF(L450&gt;10000,"medium","low"))</f>
        <v>low</v>
      </c>
      <c r="O450" s="2"/>
    </row>
    <row r="451" spans="1:15">
      <c r="A451" t="s">
        <v>509</v>
      </c>
      <c r="B451" s="1">
        <v>45362</v>
      </c>
      <c r="C451" t="s">
        <v>35</v>
      </c>
      <c r="D451" t="s">
        <v>97</v>
      </c>
      <c r="E451" t="s">
        <v>27</v>
      </c>
      <c r="F451">
        <v>5</v>
      </c>
      <c r="G451">
        <v>4487.32</v>
      </c>
      <c r="H451" s="5">
        <v>0.05</v>
      </c>
      <c r="I451" t="s">
        <v>22</v>
      </c>
      <c r="J451" t="s">
        <v>17</v>
      </c>
      <c r="K451" t="s">
        <v>33</v>
      </c>
      <c r="L451">
        <v>21314.77</v>
      </c>
      <c r="M451" s="2" t="str">
        <f t="shared" si="14"/>
        <v>Mar</v>
      </c>
      <c r="N451" s="2" t="str">
        <f t="shared" si="15"/>
        <v>high</v>
      </c>
      <c r="O451" s="2"/>
    </row>
    <row r="452" spans="1:15">
      <c r="A452" t="s">
        <v>510</v>
      </c>
      <c r="B452" s="1">
        <v>45343</v>
      </c>
      <c r="C452" t="s">
        <v>38</v>
      </c>
      <c r="D452" t="s">
        <v>39</v>
      </c>
      <c r="E452" t="s">
        <v>1160</v>
      </c>
      <c r="F452">
        <v>2</v>
      </c>
      <c r="G452">
        <v>3383.76</v>
      </c>
      <c r="H452" s="5">
        <v>0.05</v>
      </c>
      <c r="I452" t="s">
        <v>16</v>
      </c>
      <c r="J452" t="s">
        <v>23</v>
      </c>
      <c r="K452" t="s">
        <v>33</v>
      </c>
      <c r="L452">
        <v>6429.14</v>
      </c>
      <c r="M452" s="2" t="str">
        <f t="shared" si="14"/>
        <v>Feb</v>
      </c>
      <c r="N452" s="2" t="str">
        <f t="shared" si="15"/>
        <v>low</v>
      </c>
      <c r="O452" s="2"/>
    </row>
    <row r="453" spans="1:15">
      <c r="A453" t="s">
        <v>511</v>
      </c>
      <c r="B453" s="1">
        <v>45517</v>
      </c>
      <c r="C453" t="s">
        <v>20</v>
      </c>
      <c r="D453" t="s">
        <v>78</v>
      </c>
      <c r="E453" t="s">
        <v>1160</v>
      </c>
      <c r="F453">
        <v>6</v>
      </c>
      <c r="G453">
        <v>4104.09</v>
      </c>
      <c r="H453" s="5">
        <v>0</v>
      </c>
      <c r="I453" t="s">
        <v>16</v>
      </c>
      <c r="J453" t="s">
        <v>49</v>
      </c>
      <c r="K453" t="s">
        <v>18</v>
      </c>
      <c r="L453">
        <v>24624.54</v>
      </c>
      <c r="M453" s="2" t="str">
        <f t="shared" si="14"/>
        <v>Aug</v>
      </c>
      <c r="N453" s="2" t="str">
        <f t="shared" si="15"/>
        <v>high</v>
      </c>
      <c r="O453" s="2"/>
    </row>
    <row r="454" spans="1:15">
      <c r="A454" t="s">
        <v>512</v>
      </c>
      <c r="B454" s="1">
        <v>45448</v>
      </c>
      <c r="C454" t="s">
        <v>25</v>
      </c>
      <c r="D454" t="s">
        <v>87</v>
      </c>
      <c r="E454" t="s">
        <v>1160</v>
      </c>
      <c r="F454">
        <v>6</v>
      </c>
      <c r="G454">
        <v>5856.38</v>
      </c>
      <c r="H454" s="5">
        <v>0.1</v>
      </c>
      <c r="I454" t="s">
        <v>28</v>
      </c>
      <c r="J454" t="s">
        <v>23</v>
      </c>
      <c r="K454" t="s">
        <v>33</v>
      </c>
      <c r="L454">
        <v>31624.45</v>
      </c>
      <c r="M454" s="2" t="str">
        <f t="shared" si="14"/>
        <v>Jun</v>
      </c>
      <c r="N454" s="2" t="str">
        <f t="shared" si="15"/>
        <v>high</v>
      </c>
      <c r="O454" s="2"/>
    </row>
    <row r="455" spans="1:15">
      <c r="A455" t="s">
        <v>513</v>
      </c>
      <c r="B455" s="1">
        <v>45322</v>
      </c>
      <c r="C455" t="s">
        <v>20</v>
      </c>
      <c r="D455" t="s">
        <v>59</v>
      </c>
      <c r="E455" t="s">
        <v>53</v>
      </c>
      <c r="F455">
        <v>5</v>
      </c>
      <c r="G455">
        <v>6982.68</v>
      </c>
      <c r="H455" s="5">
        <v>0</v>
      </c>
      <c r="I455" t="s">
        <v>16</v>
      </c>
      <c r="J455" t="s">
        <v>17</v>
      </c>
      <c r="K455" t="s">
        <v>33</v>
      </c>
      <c r="L455">
        <v>34913.4</v>
      </c>
      <c r="M455" s="2" t="str">
        <f t="shared" si="14"/>
        <v>Jan</v>
      </c>
      <c r="N455" s="2" t="str">
        <f t="shared" si="15"/>
        <v>high</v>
      </c>
      <c r="O455" s="2"/>
    </row>
    <row r="456" spans="1:15">
      <c r="A456" t="s">
        <v>514</v>
      </c>
      <c r="B456" s="1">
        <v>45528</v>
      </c>
      <c r="C456" t="s">
        <v>13</v>
      </c>
      <c r="D456" t="s">
        <v>76</v>
      </c>
      <c r="E456" t="s">
        <v>27</v>
      </c>
      <c r="F456">
        <v>2</v>
      </c>
      <c r="G456">
        <v>3066.64</v>
      </c>
      <c r="H456" s="5">
        <v>0.2</v>
      </c>
      <c r="I456" t="s">
        <v>16</v>
      </c>
      <c r="J456" t="s">
        <v>17</v>
      </c>
      <c r="K456" t="s">
        <v>33</v>
      </c>
      <c r="L456">
        <v>4906.62</v>
      </c>
      <c r="M456" s="2" t="str">
        <f t="shared" si="14"/>
        <v>Aug</v>
      </c>
      <c r="N456" s="2" t="str">
        <f t="shared" si="15"/>
        <v>low</v>
      </c>
      <c r="O456" s="2"/>
    </row>
    <row r="457" spans="1:15">
      <c r="A457" t="s">
        <v>515</v>
      </c>
      <c r="B457" s="1">
        <v>45471</v>
      </c>
      <c r="C457" t="s">
        <v>35</v>
      </c>
      <c r="D457" t="s">
        <v>63</v>
      </c>
      <c r="E457" t="s">
        <v>1160</v>
      </c>
      <c r="F457">
        <v>1</v>
      </c>
      <c r="G457">
        <v>2610.1999999999998</v>
      </c>
      <c r="H457" s="5">
        <v>0.2</v>
      </c>
      <c r="I457" t="s">
        <v>55</v>
      </c>
      <c r="J457" t="s">
        <v>49</v>
      </c>
      <c r="K457" t="s">
        <v>33</v>
      </c>
      <c r="L457">
        <v>2088.16</v>
      </c>
      <c r="M457" s="2" t="str">
        <f t="shared" si="14"/>
        <v>Jun</v>
      </c>
      <c r="N457" s="2" t="str">
        <f t="shared" si="15"/>
        <v>low</v>
      </c>
      <c r="O457" s="2"/>
    </row>
    <row r="458" spans="1:15">
      <c r="A458" t="s">
        <v>516</v>
      </c>
      <c r="B458" s="1">
        <v>45432</v>
      </c>
      <c r="C458" t="s">
        <v>38</v>
      </c>
      <c r="D458" t="s">
        <v>51</v>
      </c>
      <c r="E458" t="s">
        <v>44</v>
      </c>
      <c r="F458">
        <v>2</v>
      </c>
      <c r="G458">
        <v>6649.47</v>
      </c>
      <c r="H458" s="5">
        <v>0.2</v>
      </c>
      <c r="I458" t="s">
        <v>16</v>
      </c>
      <c r="J458" t="s">
        <v>23</v>
      </c>
      <c r="K458" t="s">
        <v>18</v>
      </c>
      <c r="L458">
        <v>10639.15</v>
      </c>
      <c r="M458" s="2" t="str">
        <f t="shared" si="14"/>
        <v>May</v>
      </c>
      <c r="N458" s="2" t="str">
        <f t="shared" si="15"/>
        <v>medium</v>
      </c>
      <c r="O458" s="2"/>
    </row>
    <row r="459" spans="1:15">
      <c r="A459" t="s">
        <v>517</v>
      </c>
      <c r="B459" s="1">
        <v>45296</v>
      </c>
      <c r="C459" t="s">
        <v>35</v>
      </c>
      <c r="D459" t="s">
        <v>97</v>
      </c>
      <c r="E459" t="s">
        <v>15</v>
      </c>
      <c r="F459">
        <v>1</v>
      </c>
      <c r="G459">
        <v>2182.19</v>
      </c>
      <c r="H459" s="5">
        <v>0.25</v>
      </c>
      <c r="I459" t="s">
        <v>22</v>
      </c>
      <c r="J459" t="s">
        <v>17</v>
      </c>
      <c r="K459" t="s">
        <v>33</v>
      </c>
      <c r="L459">
        <v>1636.64</v>
      </c>
      <c r="M459" s="2" t="str">
        <f t="shared" si="14"/>
        <v>Jan</v>
      </c>
      <c r="N459" s="2" t="str">
        <f t="shared" si="15"/>
        <v>low</v>
      </c>
      <c r="O459" s="2"/>
    </row>
    <row r="460" spans="1:15">
      <c r="A460" t="s">
        <v>518</v>
      </c>
      <c r="B460" s="1">
        <v>45628</v>
      </c>
      <c r="C460" t="s">
        <v>20</v>
      </c>
      <c r="D460" t="s">
        <v>78</v>
      </c>
      <c r="E460" t="s">
        <v>32</v>
      </c>
      <c r="F460">
        <v>3</v>
      </c>
      <c r="G460">
        <v>321.91000000000003</v>
      </c>
      <c r="H460" s="5">
        <v>0.25</v>
      </c>
      <c r="I460" t="s">
        <v>22</v>
      </c>
      <c r="J460" t="s">
        <v>40</v>
      </c>
      <c r="K460" t="s">
        <v>33</v>
      </c>
      <c r="L460">
        <v>724.3</v>
      </c>
      <c r="M460" s="2" t="str">
        <f t="shared" si="14"/>
        <v>Dec</v>
      </c>
      <c r="N460" s="2" t="str">
        <f t="shared" si="15"/>
        <v>low</v>
      </c>
      <c r="O460" s="2"/>
    </row>
    <row r="461" spans="1:15">
      <c r="A461" t="s">
        <v>519</v>
      </c>
      <c r="B461" s="1">
        <v>45571</v>
      </c>
      <c r="C461" t="s">
        <v>35</v>
      </c>
      <c r="D461" t="s">
        <v>97</v>
      </c>
      <c r="E461" t="s">
        <v>27</v>
      </c>
      <c r="F461">
        <v>6</v>
      </c>
      <c r="G461">
        <v>6493.74</v>
      </c>
      <c r="H461" s="5">
        <v>0</v>
      </c>
      <c r="I461" t="s">
        <v>16</v>
      </c>
      <c r="J461" t="s">
        <v>29</v>
      </c>
      <c r="K461" t="s">
        <v>33</v>
      </c>
      <c r="L461">
        <f>(F461*G461)-(F461*G461)*H461</f>
        <v>38962.44</v>
      </c>
      <c r="M461" s="2" t="str">
        <f t="shared" si="14"/>
        <v>Oct</v>
      </c>
      <c r="N461" s="2" t="str">
        <f t="shared" si="15"/>
        <v>high</v>
      </c>
      <c r="O461" s="2"/>
    </row>
    <row r="462" spans="1:15">
      <c r="A462" t="s">
        <v>520</v>
      </c>
      <c r="B462" s="1">
        <v>45354</v>
      </c>
      <c r="C462" t="s">
        <v>25</v>
      </c>
      <c r="D462" t="s">
        <v>87</v>
      </c>
      <c r="E462" t="s">
        <v>15</v>
      </c>
      <c r="F462">
        <v>1</v>
      </c>
      <c r="G462">
        <v>4253.78</v>
      </c>
      <c r="H462" s="5">
        <v>0.1</v>
      </c>
      <c r="I462" t="s">
        <v>55</v>
      </c>
      <c r="J462" t="s">
        <v>23</v>
      </c>
      <c r="K462" t="s">
        <v>33</v>
      </c>
      <c r="L462">
        <v>3828.4</v>
      </c>
      <c r="M462" s="2" t="str">
        <f t="shared" si="14"/>
        <v>Mar</v>
      </c>
      <c r="N462" s="2" t="str">
        <f t="shared" si="15"/>
        <v>low</v>
      </c>
      <c r="O462" s="2"/>
    </row>
    <row r="463" spans="1:15">
      <c r="A463" t="s">
        <v>521</v>
      </c>
      <c r="B463" s="1">
        <v>45557</v>
      </c>
      <c r="C463" t="s">
        <v>38</v>
      </c>
      <c r="D463" t="s">
        <v>39</v>
      </c>
      <c r="E463" t="s">
        <v>15</v>
      </c>
      <c r="F463">
        <v>5</v>
      </c>
      <c r="G463">
        <v>2338.4299999999998</v>
      </c>
      <c r="H463" s="5">
        <v>0</v>
      </c>
      <c r="I463" t="s">
        <v>28</v>
      </c>
      <c r="J463" t="s">
        <v>17</v>
      </c>
      <c r="K463" t="s">
        <v>33</v>
      </c>
      <c r="L463">
        <v>11692.15</v>
      </c>
      <c r="M463" s="2" t="str">
        <f t="shared" si="14"/>
        <v>Sep</v>
      </c>
      <c r="N463" s="2" t="str">
        <f t="shared" si="15"/>
        <v>medium</v>
      </c>
      <c r="O463" s="2"/>
    </row>
    <row r="464" spans="1:15">
      <c r="A464" t="s">
        <v>522</v>
      </c>
      <c r="B464" s="1">
        <v>45370</v>
      </c>
      <c r="C464" t="s">
        <v>25</v>
      </c>
      <c r="D464" t="s">
        <v>46</v>
      </c>
      <c r="E464" t="s">
        <v>80</v>
      </c>
      <c r="F464">
        <v>5</v>
      </c>
      <c r="G464">
        <v>4226.1099999999997</v>
      </c>
      <c r="H464" s="5">
        <v>0.2</v>
      </c>
      <c r="I464" t="s">
        <v>16</v>
      </c>
      <c r="J464" t="s">
        <v>17</v>
      </c>
      <c r="K464" t="s">
        <v>18</v>
      </c>
      <c r="L464">
        <v>16904.439999999999</v>
      </c>
      <c r="M464" s="2" t="str">
        <f t="shared" si="14"/>
        <v>Mar</v>
      </c>
      <c r="N464" s="2" t="str">
        <f t="shared" si="15"/>
        <v>medium</v>
      </c>
      <c r="O464" s="2"/>
    </row>
    <row r="465" spans="1:15">
      <c r="A465" t="s">
        <v>523</v>
      </c>
      <c r="B465" s="1">
        <v>45631</v>
      </c>
      <c r="C465" t="s">
        <v>35</v>
      </c>
      <c r="D465" t="s">
        <v>36</v>
      </c>
      <c r="E465" t="s">
        <v>44</v>
      </c>
      <c r="F465">
        <v>3</v>
      </c>
      <c r="G465">
        <v>7300.71</v>
      </c>
      <c r="H465" s="5">
        <v>0.25</v>
      </c>
      <c r="I465" t="s">
        <v>22</v>
      </c>
      <c r="J465" t="s">
        <v>49</v>
      </c>
      <c r="K465" t="s">
        <v>18</v>
      </c>
      <c r="L465">
        <v>16426.599999999999</v>
      </c>
      <c r="M465" s="2" t="str">
        <f t="shared" si="14"/>
        <v>Dec</v>
      </c>
      <c r="N465" s="2" t="str">
        <f t="shared" si="15"/>
        <v>medium</v>
      </c>
      <c r="O465" s="2"/>
    </row>
    <row r="466" spans="1:15">
      <c r="A466" t="s">
        <v>524</v>
      </c>
      <c r="B466" s="1">
        <v>45534</v>
      </c>
      <c r="C466" t="s">
        <v>38</v>
      </c>
      <c r="D466" t="s">
        <v>100</v>
      </c>
      <c r="E466" t="s">
        <v>47</v>
      </c>
      <c r="F466">
        <v>1</v>
      </c>
      <c r="G466">
        <v>274.06</v>
      </c>
      <c r="H466" s="5">
        <v>0.05</v>
      </c>
      <c r="I466" t="s">
        <v>28</v>
      </c>
      <c r="J466" t="s">
        <v>49</v>
      </c>
      <c r="K466" t="s">
        <v>18</v>
      </c>
      <c r="L466">
        <v>260.36</v>
      </c>
      <c r="M466" s="2" t="str">
        <f t="shared" si="14"/>
        <v>Aug</v>
      </c>
      <c r="N466" s="2" t="str">
        <f t="shared" si="15"/>
        <v>low</v>
      </c>
      <c r="O466" s="2"/>
    </row>
    <row r="467" spans="1:15">
      <c r="A467" t="s">
        <v>525</v>
      </c>
      <c r="B467" s="1">
        <v>45517</v>
      </c>
      <c r="C467" t="s">
        <v>20</v>
      </c>
      <c r="D467" t="s">
        <v>59</v>
      </c>
      <c r="E467" t="s">
        <v>15</v>
      </c>
      <c r="F467">
        <v>3</v>
      </c>
      <c r="G467">
        <v>4749.8999999999996</v>
      </c>
      <c r="H467" s="5">
        <v>0.15</v>
      </c>
      <c r="I467" t="s">
        <v>16</v>
      </c>
      <c r="J467" t="s">
        <v>29</v>
      </c>
      <c r="K467" t="s">
        <v>18</v>
      </c>
      <c r="L467">
        <v>12112.24</v>
      </c>
      <c r="M467" s="2" t="str">
        <f t="shared" si="14"/>
        <v>Aug</v>
      </c>
      <c r="N467" s="2" t="str">
        <f t="shared" si="15"/>
        <v>medium</v>
      </c>
      <c r="O467" s="2"/>
    </row>
    <row r="468" spans="1:15">
      <c r="A468" t="s">
        <v>526</v>
      </c>
      <c r="B468" s="1">
        <v>45324</v>
      </c>
      <c r="C468" t="s">
        <v>35</v>
      </c>
      <c r="D468" t="s">
        <v>68</v>
      </c>
      <c r="E468" t="s">
        <v>15</v>
      </c>
      <c r="F468">
        <v>5</v>
      </c>
      <c r="G468">
        <v>5594.45</v>
      </c>
      <c r="H468" s="5">
        <v>0.1</v>
      </c>
      <c r="I468" t="s">
        <v>22</v>
      </c>
      <c r="J468" t="s">
        <v>49</v>
      </c>
      <c r="K468" t="s">
        <v>33</v>
      </c>
      <c r="L468">
        <v>25175.03</v>
      </c>
      <c r="M468" s="2" t="str">
        <f t="shared" si="14"/>
        <v>Feb</v>
      </c>
      <c r="N468" s="2" t="str">
        <f t="shared" si="15"/>
        <v>high</v>
      </c>
      <c r="O468" s="2"/>
    </row>
    <row r="469" spans="1:15">
      <c r="A469" t="s">
        <v>527</v>
      </c>
      <c r="B469" s="1">
        <v>45618</v>
      </c>
      <c r="C469" t="s">
        <v>13</v>
      </c>
      <c r="D469" t="s">
        <v>70</v>
      </c>
      <c r="E469" t="s">
        <v>27</v>
      </c>
      <c r="F469">
        <v>6</v>
      </c>
      <c r="G469">
        <v>4146.79</v>
      </c>
      <c r="H469" s="5">
        <v>0</v>
      </c>
      <c r="I469" t="s">
        <v>28</v>
      </c>
      <c r="J469" t="s">
        <v>49</v>
      </c>
      <c r="K469" t="s">
        <v>33</v>
      </c>
      <c r="L469">
        <v>24880.74</v>
      </c>
      <c r="M469" s="2" t="str">
        <f t="shared" si="14"/>
        <v>Nov</v>
      </c>
      <c r="N469" s="2" t="str">
        <f t="shared" si="15"/>
        <v>high</v>
      </c>
      <c r="O469" s="2"/>
    </row>
    <row r="470" spans="1:15">
      <c r="A470" t="s">
        <v>528</v>
      </c>
      <c r="B470" s="1">
        <v>45503</v>
      </c>
      <c r="C470" t="s">
        <v>13</v>
      </c>
      <c r="D470" t="s">
        <v>108</v>
      </c>
      <c r="E470" t="s">
        <v>1160</v>
      </c>
      <c r="F470">
        <v>5</v>
      </c>
      <c r="G470">
        <v>2299.41</v>
      </c>
      <c r="H470" s="5">
        <v>0.1</v>
      </c>
      <c r="I470" t="s">
        <v>55</v>
      </c>
      <c r="J470" t="s">
        <v>23</v>
      </c>
      <c r="K470" t="s">
        <v>33</v>
      </c>
      <c r="L470">
        <v>10347.34</v>
      </c>
      <c r="M470" s="2" t="str">
        <f t="shared" si="14"/>
        <v>Jul</v>
      </c>
      <c r="N470" s="2" t="str">
        <f t="shared" si="15"/>
        <v>medium</v>
      </c>
      <c r="O470" s="2"/>
    </row>
    <row r="471" spans="1:15">
      <c r="A471" t="s">
        <v>529</v>
      </c>
      <c r="B471" s="1">
        <v>45332</v>
      </c>
      <c r="C471" t="s">
        <v>25</v>
      </c>
      <c r="D471" t="s">
        <v>26</v>
      </c>
      <c r="E471" t="s">
        <v>32</v>
      </c>
      <c r="F471">
        <v>3</v>
      </c>
      <c r="G471">
        <v>6926.99</v>
      </c>
      <c r="H471" s="5">
        <v>0.05</v>
      </c>
      <c r="I471" t="s">
        <v>16</v>
      </c>
      <c r="J471" t="s">
        <v>40</v>
      </c>
      <c r="K471" t="s">
        <v>33</v>
      </c>
      <c r="L471">
        <v>19741.919999999998</v>
      </c>
      <c r="M471" s="2" t="str">
        <f t="shared" si="14"/>
        <v>Feb</v>
      </c>
      <c r="N471" s="2" t="str">
        <f t="shared" si="15"/>
        <v>medium</v>
      </c>
      <c r="O471" s="2"/>
    </row>
    <row r="472" spans="1:15">
      <c r="A472" t="s">
        <v>530</v>
      </c>
      <c r="B472" s="1">
        <v>45620</v>
      </c>
      <c r="C472" t="s">
        <v>35</v>
      </c>
      <c r="D472" t="s">
        <v>63</v>
      </c>
      <c r="E472" t="s">
        <v>44</v>
      </c>
      <c r="F472">
        <v>6</v>
      </c>
      <c r="G472">
        <v>4300.1499999999996</v>
      </c>
      <c r="H472" s="5">
        <v>0.2</v>
      </c>
      <c r="I472" t="s">
        <v>16</v>
      </c>
      <c r="J472" t="s">
        <v>23</v>
      </c>
      <c r="K472" t="s">
        <v>33</v>
      </c>
      <c r="L472">
        <v>20640.72</v>
      </c>
      <c r="M472" s="2" t="str">
        <f t="shared" si="14"/>
        <v>Nov</v>
      </c>
      <c r="N472" s="2" t="str">
        <f t="shared" si="15"/>
        <v>high</v>
      </c>
      <c r="O472" s="2"/>
    </row>
    <row r="473" spans="1:15">
      <c r="A473" t="s">
        <v>531</v>
      </c>
      <c r="B473" s="1">
        <v>45629</v>
      </c>
      <c r="C473" t="s">
        <v>25</v>
      </c>
      <c r="D473" t="s">
        <v>46</v>
      </c>
      <c r="E473" t="s">
        <v>15</v>
      </c>
      <c r="F473">
        <v>5</v>
      </c>
      <c r="G473">
        <v>3288.59</v>
      </c>
      <c r="H473" s="5">
        <v>0.2</v>
      </c>
      <c r="I473" t="s">
        <v>16</v>
      </c>
      <c r="J473" t="s">
        <v>49</v>
      </c>
      <c r="K473" t="s">
        <v>33</v>
      </c>
      <c r="L473">
        <v>13154.36</v>
      </c>
      <c r="M473" s="2" t="str">
        <f t="shared" si="14"/>
        <v>Dec</v>
      </c>
      <c r="N473" s="2" t="str">
        <f t="shared" si="15"/>
        <v>medium</v>
      </c>
      <c r="O473" s="2"/>
    </row>
    <row r="474" spans="1:15">
      <c r="A474" t="s">
        <v>532</v>
      </c>
      <c r="B474" s="1">
        <v>45641</v>
      </c>
      <c r="C474" t="s">
        <v>35</v>
      </c>
      <c r="D474" t="s">
        <v>68</v>
      </c>
      <c r="E474" t="s">
        <v>1160</v>
      </c>
      <c r="F474">
        <v>6</v>
      </c>
      <c r="G474">
        <v>747.41</v>
      </c>
      <c r="H474" s="5">
        <v>0.05</v>
      </c>
      <c r="I474" t="s">
        <v>16</v>
      </c>
      <c r="J474" t="s">
        <v>29</v>
      </c>
      <c r="K474" t="s">
        <v>33</v>
      </c>
      <c r="L474">
        <v>4260.24</v>
      </c>
      <c r="M474" s="2" t="str">
        <f t="shared" si="14"/>
        <v>Dec</v>
      </c>
      <c r="N474" s="2" t="str">
        <f t="shared" si="15"/>
        <v>low</v>
      </c>
      <c r="O474" s="2"/>
    </row>
    <row r="475" spans="1:15">
      <c r="A475" t="s">
        <v>533</v>
      </c>
      <c r="B475" s="1">
        <v>45379</v>
      </c>
      <c r="C475" t="s">
        <v>20</v>
      </c>
      <c r="D475" t="s">
        <v>57</v>
      </c>
      <c r="E475" t="s">
        <v>47</v>
      </c>
      <c r="F475">
        <v>1</v>
      </c>
      <c r="G475">
        <v>1372.02</v>
      </c>
      <c r="H475" s="5">
        <v>0.1</v>
      </c>
      <c r="I475" t="s">
        <v>55</v>
      </c>
      <c r="J475" t="s">
        <v>23</v>
      </c>
      <c r="K475" t="s">
        <v>33</v>
      </c>
      <c r="L475">
        <v>1234.82</v>
      </c>
      <c r="M475" s="2" t="str">
        <f t="shared" si="14"/>
        <v>Mar</v>
      </c>
      <c r="N475" s="2" t="str">
        <f t="shared" si="15"/>
        <v>low</v>
      </c>
      <c r="O475" s="2"/>
    </row>
    <row r="476" spans="1:15">
      <c r="A476" t="s">
        <v>534</v>
      </c>
      <c r="B476" s="1">
        <v>45428</v>
      </c>
      <c r="C476" t="s">
        <v>13</v>
      </c>
      <c r="D476" t="s">
        <v>108</v>
      </c>
      <c r="E476" t="s">
        <v>53</v>
      </c>
      <c r="F476">
        <v>2</v>
      </c>
      <c r="G476">
        <v>3249.36</v>
      </c>
      <c r="H476" s="5">
        <v>0</v>
      </c>
      <c r="I476" t="s">
        <v>55</v>
      </c>
      <c r="J476" t="s">
        <v>40</v>
      </c>
      <c r="K476" t="s">
        <v>18</v>
      </c>
      <c r="L476">
        <v>6498.72</v>
      </c>
      <c r="M476" s="2" t="str">
        <f t="shared" si="14"/>
        <v>May</v>
      </c>
      <c r="N476" s="2" t="str">
        <f t="shared" si="15"/>
        <v>low</v>
      </c>
      <c r="O476" s="2"/>
    </row>
    <row r="477" spans="1:15">
      <c r="A477" t="s">
        <v>535</v>
      </c>
      <c r="B477" s="1">
        <v>45415</v>
      </c>
      <c r="C477" t="s">
        <v>20</v>
      </c>
      <c r="D477" t="s">
        <v>78</v>
      </c>
      <c r="E477" t="s">
        <v>27</v>
      </c>
      <c r="F477">
        <v>1</v>
      </c>
      <c r="G477">
        <v>4809.37</v>
      </c>
      <c r="H477" s="5">
        <v>0.25</v>
      </c>
      <c r="I477" t="s">
        <v>22</v>
      </c>
      <c r="J477" t="s">
        <v>23</v>
      </c>
      <c r="K477" t="s">
        <v>18</v>
      </c>
      <c r="L477">
        <v>3607.03</v>
      </c>
      <c r="M477" s="2" t="str">
        <f t="shared" si="14"/>
        <v>May</v>
      </c>
      <c r="N477" s="2" t="str">
        <f t="shared" si="15"/>
        <v>low</v>
      </c>
      <c r="O477" s="2"/>
    </row>
    <row r="478" spans="1:15">
      <c r="A478" t="s">
        <v>536</v>
      </c>
      <c r="B478" s="1">
        <v>45355</v>
      </c>
      <c r="C478" t="s">
        <v>13</v>
      </c>
      <c r="D478" t="s">
        <v>70</v>
      </c>
      <c r="E478" t="s">
        <v>32</v>
      </c>
      <c r="F478">
        <v>5</v>
      </c>
      <c r="G478">
        <v>315.10000000000002</v>
      </c>
      <c r="H478" s="5">
        <v>0.25</v>
      </c>
      <c r="I478" t="s">
        <v>28</v>
      </c>
      <c r="J478" t="s">
        <v>29</v>
      </c>
      <c r="K478" t="s">
        <v>33</v>
      </c>
      <c r="L478">
        <v>1181.6199999999999</v>
      </c>
      <c r="M478" s="2" t="str">
        <f t="shared" si="14"/>
        <v>Mar</v>
      </c>
      <c r="N478" s="2" t="str">
        <f t="shared" si="15"/>
        <v>low</v>
      </c>
      <c r="O478" s="2"/>
    </row>
    <row r="479" spans="1:15">
      <c r="A479" t="s">
        <v>537</v>
      </c>
      <c r="B479" s="1">
        <v>45654</v>
      </c>
      <c r="C479" t="s">
        <v>20</v>
      </c>
      <c r="D479" t="s">
        <v>61</v>
      </c>
      <c r="E479" t="s">
        <v>53</v>
      </c>
      <c r="F479">
        <v>5</v>
      </c>
      <c r="G479">
        <v>6320.01</v>
      </c>
      <c r="H479" s="5">
        <v>0.15</v>
      </c>
      <c r="I479" t="s">
        <v>28</v>
      </c>
      <c r="J479" t="s">
        <v>40</v>
      </c>
      <c r="K479" t="s">
        <v>33</v>
      </c>
      <c r="L479">
        <v>26860.04</v>
      </c>
      <c r="M479" s="2" t="str">
        <f t="shared" si="14"/>
        <v>Dec</v>
      </c>
      <c r="N479" s="2" t="str">
        <f t="shared" si="15"/>
        <v>high</v>
      </c>
      <c r="O479" s="2"/>
    </row>
    <row r="480" spans="1:15">
      <c r="A480" t="s">
        <v>538</v>
      </c>
      <c r="B480" s="1">
        <v>45462</v>
      </c>
      <c r="C480" t="s">
        <v>25</v>
      </c>
      <c r="D480" t="s">
        <v>31</v>
      </c>
      <c r="E480" t="s">
        <v>32</v>
      </c>
      <c r="F480">
        <v>3</v>
      </c>
      <c r="G480">
        <v>5695.09</v>
      </c>
      <c r="H480" s="5">
        <v>0.1</v>
      </c>
      <c r="I480" t="s">
        <v>22</v>
      </c>
      <c r="J480" t="s">
        <v>17</v>
      </c>
      <c r="K480" t="s">
        <v>33</v>
      </c>
      <c r="L480">
        <v>15376.74</v>
      </c>
      <c r="M480" s="2" t="str">
        <f t="shared" si="14"/>
        <v>Jun</v>
      </c>
      <c r="N480" s="2" t="str">
        <f t="shared" si="15"/>
        <v>medium</v>
      </c>
      <c r="O480" s="2"/>
    </row>
    <row r="481" spans="1:15">
      <c r="A481" t="s">
        <v>539</v>
      </c>
      <c r="B481" s="1">
        <v>45350</v>
      </c>
      <c r="C481" t="s">
        <v>35</v>
      </c>
      <c r="D481" t="s">
        <v>36</v>
      </c>
      <c r="E481" t="s">
        <v>47</v>
      </c>
      <c r="F481">
        <v>2</v>
      </c>
      <c r="G481">
        <v>5981.79</v>
      </c>
      <c r="H481" s="5">
        <v>0.05</v>
      </c>
      <c r="I481" t="s">
        <v>16</v>
      </c>
      <c r="J481" t="s">
        <v>17</v>
      </c>
      <c r="K481" t="s">
        <v>33</v>
      </c>
      <c r="L481">
        <v>11365.4</v>
      </c>
      <c r="M481" s="2" t="str">
        <f t="shared" si="14"/>
        <v>Feb</v>
      </c>
      <c r="N481" s="2" t="str">
        <f t="shared" si="15"/>
        <v>medium</v>
      </c>
      <c r="O481" s="2"/>
    </row>
    <row r="482" spans="1:15">
      <c r="A482" t="s">
        <v>540</v>
      </c>
      <c r="B482" s="1">
        <v>45381</v>
      </c>
      <c r="C482" t="s">
        <v>35</v>
      </c>
      <c r="D482" t="s">
        <v>63</v>
      </c>
      <c r="E482" t="s">
        <v>32</v>
      </c>
      <c r="F482">
        <v>4</v>
      </c>
      <c r="G482">
        <v>746.67</v>
      </c>
      <c r="H482" s="5">
        <v>0.25</v>
      </c>
      <c r="I482" t="s">
        <v>16</v>
      </c>
      <c r="J482" t="s">
        <v>17</v>
      </c>
      <c r="K482" t="s">
        <v>33</v>
      </c>
      <c r="L482">
        <v>2240.0100000000002</v>
      </c>
      <c r="M482" s="2" t="str">
        <f t="shared" si="14"/>
        <v>Mar</v>
      </c>
      <c r="N482" s="2" t="str">
        <f t="shared" si="15"/>
        <v>low</v>
      </c>
      <c r="O482" s="2"/>
    </row>
    <row r="483" spans="1:15">
      <c r="A483" t="s">
        <v>541</v>
      </c>
      <c r="B483" s="1">
        <v>45413</v>
      </c>
      <c r="C483" t="s">
        <v>20</v>
      </c>
      <c r="D483" t="s">
        <v>21</v>
      </c>
      <c r="E483" t="s">
        <v>15</v>
      </c>
      <c r="F483">
        <v>3</v>
      </c>
      <c r="G483">
        <v>2542.9899999999998</v>
      </c>
      <c r="H483" s="5">
        <v>0.25</v>
      </c>
      <c r="I483" t="s">
        <v>55</v>
      </c>
      <c r="J483" t="s">
        <v>49</v>
      </c>
      <c r="K483" t="s">
        <v>33</v>
      </c>
      <c r="L483">
        <v>5721.73</v>
      </c>
      <c r="M483" s="2" t="str">
        <f t="shared" si="14"/>
        <v>May</v>
      </c>
      <c r="N483" s="2" t="str">
        <f t="shared" si="15"/>
        <v>low</v>
      </c>
      <c r="O483" s="2"/>
    </row>
    <row r="484" spans="1:15">
      <c r="A484" t="s">
        <v>542</v>
      </c>
      <c r="B484" s="1">
        <v>45298</v>
      </c>
      <c r="C484" t="s">
        <v>20</v>
      </c>
      <c r="D484" t="s">
        <v>61</v>
      </c>
      <c r="E484" t="s">
        <v>80</v>
      </c>
      <c r="F484">
        <v>1</v>
      </c>
      <c r="G484">
        <v>886.12</v>
      </c>
      <c r="H484" s="5">
        <v>0</v>
      </c>
      <c r="I484" t="s">
        <v>55</v>
      </c>
      <c r="J484" t="s">
        <v>40</v>
      </c>
      <c r="K484" t="s">
        <v>33</v>
      </c>
      <c r="L484">
        <v>886.12</v>
      </c>
      <c r="M484" s="2" t="str">
        <f t="shared" si="14"/>
        <v>Jan</v>
      </c>
      <c r="N484" s="2" t="str">
        <f t="shared" si="15"/>
        <v>low</v>
      </c>
      <c r="O484" s="2"/>
    </row>
    <row r="485" spans="1:15">
      <c r="A485" t="s">
        <v>543</v>
      </c>
      <c r="B485" s="1">
        <v>45488</v>
      </c>
      <c r="C485" t="s">
        <v>25</v>
      </c>
      <c r="D485" t="s">
        <v>46</v>
      </c>
      <c r="E485" t="s">
        <v>32</v>
      </c>
      <c r="F485">
        <v>6</v>
      </c>
      <c r="G485">
        <v>2203.9899999999998</v>
      </c>
      <c r="H485" s="5">
        <v>0</v>
      </c>
      <c r="I485" t="s">
        <v>55</v>
      </c>
      <c r="J485" t="s">
        <v>40</v>
      </c>
      <c r="K485" t="s">
        <v>33</v>
      </c>
      <c r="L485">
        <v>13223.94</v>
      </c>
      <c r="M485" s="2" t="str">
        <f t="shared" si="14"/>
        <v>Jul</v>
      </c>
      <c r="N485" s="2" t="str">
        <f t="shared" si="15"/>
        <v>medium</v>
      </c>
      <c r="O485" s="2"/>
    </row>
    <row r="486" spans="1:15">
      <c r="A486" t="s">
        <v>544</v>
      </c>
      <c r="B486" s="1">
        <v>45351</v>
      </c>
      <c r="C486" t="s">
        <v>38</v>
      </c>
      <c r="D486" t="s">
        <v>51</v>
      </c>
      <c r="E486" t="s">
        <v>32</v>
      </c>
      <c r="F486">
        <v>6</v>
      </c>
      <c r="G486">
        <v>4853.3</v>
      </c>
      <c r="H486" s="5">
        <v>0.1</v>
      </c>
      <c r="I486" t="s">
        <v>16</v>
      </c>
      <c r="J486" t="s">
        <v>40</v>
      </c>
      <c r="K486" t="s">
        <v>33</v>
      </c>
      <c r="L486">
        <v>26207.82</v>
      </c>
      <c r="M486" s="2" t="str">
        <f t="shared" si="14"/>
        <v>Feb</v>
      </c>
      <c r="N486" s="2" t="str">
        <f t="shared" si="15"/>
        <v>high</v>
      </c>
      <c r="O486" s="2"/>
    </row>
    <row r="487" spans="1:15">
      <c r="A487" t="s">
        <v>545</v>
      </c>
      <c r="B487" s="1">
        <v>45485</v>
      </c>
      <c r="C487" t="s">
        <v>20</v>
      </c>
      <c r="D487" t="s">
        <v>59</v>
      </c>
      <c r="E487" t="s">
        <v>44</v>
      </c>
      <c r="F487">
        <v>1</v>
      </c>
      <c r="G487">
        <v>2473.35</v>
      </c>
      <c r="H487" s="5">
        <v>0</v>
      </c>
      <c r="I487" t="s">
        <v>16</v>
      </c>
      <c r="J487" t="s">
        <v>49</v>
      </c>
      <c r="K487" t="s">
        <v>18</v>
      </c>
      <c r="L487">
        <v>2473.35</v>
      </c>
      <c r="M487" s="2" t="str">
        <f t="shared" si="14"/>
        <v>Jul</v>
      </c>
      <c r="N487" s="2" t="str">
        <f t="shared" si="15"/>
        <v>low</v>
      </c>
      <c r="O487" s="2"/>
    </row>
    <row r="488" spans="1:15">
      <c r="A488" t="s">
        <v>546</v>
      </c>
      <c r="B488" s="1">
        <v>45611</v>
      </c>
      <c r="C488" t="s">
        <v>38</v>
      </c>
      <c r="D488" t="s">
        <v>39</v>
      </c>
      <c r="E488" t="s">
        <v>47</v>
      </c>
      <c r="F488">
        <v>6</v>
      </c>
      <c r="G488">
        <v>3902.39</v>
      </c>
      <c r="H488" s="5">
        <v>0</v>
      </c>
      <c r="I488" t="s">
        <v>22</v>
      </c>
      <c r="J488" t="s">
        <v>40</v>
      </c>
      <c r="K488" t="s">
        <v>33</v>
      </c>
      <c r="L488">
        <v>23414.34</v>
      </c>
      <c r="M488" s="2" t="str">
        <f t="shared" si="14"/>
        <v>Nov</v>
      </c>
      <c r="N488" s="2" t="str">
        <f t="shared" si="15"/>
        <v>high</v>
      </c>
      <c r="O488" s="2"/>
    </row>
    <row r="489" spans="1:15">
      <c r="A489" t="s">
        <v>547</v>
      </c>
      <c r="B489" s="1">
        <v>45413</v>
      </c>
      <c r="C489" t="s">
        <v>35</v>
      </c>
      <c r="D489" t="s">
        <v>63</v>
      </c>
      <c r="E489" t="s">
        <v>27</v>
      </c>
      <c r="F489">
        <v>6</v>
      </c>
      <c r="G489">
        <v>3142.56</v>
      </c>
      <c r="H489" s="5">
        <v>0.1</v>
      </c>
      <c r="I489" t="s">
        <v>22</v>
      </c>
      <c r="J489" t="s">
        <v>49</v>
      </c>
      <c r="K489" t="s">
        <v>33</v>
      </c>
      <c r="L489">
        <v>16969.82</v>
      </c>
      <c r="M489" s="2" t="str">
        <f t="shared" si="14"/>
        <v>May</v>
      </c>
      <c r="N489" s="2" t="str">
        <f t="shared" si="15"/>
        <v>medium</v>
      </c>
      <c r="O489" s="2"/>
    </row>
    <row r="490" spans="1:15">
      <c r="A490" t="s">
        <v>548</v>
      </c>
      <c r="B490" s="1">
        <v>45556</v>
      </c>
      <c r="C490" t="s">
        <v>35</v>
      </c>
      <c r="D490" t="s">
        <v>63</v>
      </c>
      <c r="E490" t="s">
        <v>44</v>
      </c>
      <c r="F490">
        <v>4</v>
      </c>
      <c r="G490">
        <v>7621.22</v>
      </c>
      <c r="H490" s="5">
        <v>0.05</v>
      </c>
      <c r="I490" t="s">
        <v>55</v>
      </c>
      <c r="J490" t="s">
        <v>40</v>
      </c>
      <c r="K490" t="s">
        <v>33</v>
      </c>
      <c r="L490">
        <v>28960.639999999999</v>
      </c>
      <c r="M490" s="2" t="str">
        <f t="shared" si="14"/>
        <v>Sep</v>
      </c>
      <c r="N490" s="2" t="str">
        <f t="shared" si="15"/>
        <v>high</v>
      </c>
      <c r="O490" s="2"/>
    </row>
    <row r="491" spans="1:15">
      <c r="A491" t="s">
        <v>549</v>
      </c>
      <c r="B491" s="1">
        <v>45375</v>
      </c>
      <c r="C491" t="s">
        <v>38</v>
      </c>
      <c r="D491" t="s">
        <v>42</v>
      </c>
      <c r="E491" t="s">
        <v>53</v>
      </c>
      <c r="F491">
        <v>1</v>
      </c>
      <c r="G491">
        <v>3267.91</v>
      </c>
      <c r="H491" s="5">
        <v>0</v>
      </c>
      <c r="I491" t="s">
        <v>16</v>
      </c>
      <c r="J491" t="s">
        <v>40</v>
      </c>
      <c r="K491" t="s">
        <v>18</v>
      </c>
      <c r="L491">
        <v>3267.91</v>
      </c>
      <c r="M491" s="2" t="str">
        <f t="shared" si="14"/>
        <v>Mar</v>
      </c>
      <c r="N491" s="2" t="str">
        <f t="shared" si="15"/>
        <v>low</v>
      </c>
      <c r="O491" s="2"/>
    </row>
    <row r="492" spans="1:15">
      <c r="A492" t="s">
        <v>550</v>
      </c>
      <c r="B492" s="1">
        <v>45541</v>
      </c>
      <c r="C492" t="s">
        <v>38</v>
      </c>
      <c r="D492" t="s">
        <v>51</v>
      </c>
      <c r="E492" t="s">
        <v>47</v>
      </c>
      <c r="F492">
        <v>1</v>
      </c>
      <c r="G492">
        <v>1851.62</v>
      </c>
      <c r="H492" s="5">
        <v>0.05</v>
      </c>
      <c r="I492" t="s">
        <v>16</v>
      </c>
      <c r="J492" t="s">
        <v>40</v>
      </c>
      <c r="K492" t="s">
        <v>33</v>
      </c>
      <c r="L492">
        <v>1759.04</v>
      </c>
      <c r="M492" s="2" t="str">
        <f t="shared" si="14"/>
        <v>Sep</v>
      </c>
      <c r="N492" s="2" t="str">
        <f t="shared" si="15"/>
        <v>low</v>
      </c>
      <c r="O492" s="2"/>
    </row>
    <row r="493" spans="1:15">
      <c r="A493" t="s">
        <v>551</v>
      </c>
      <c r="B493" s="1">
        <v>45358</v>
      </c>
      <c r="C493" t="s">
        <v>38</v>
      </c>
      <c r="D493" t="s">
        <v>51</v>
      </c>
      <c r="E493" t="s">
        <v>80</v>
      </c>
      <c r="F493">
        <v>2</v>
      </c>
      <c r="G493">
        <v>2611.2600000000002</v>
      </c>
      <c r="H493" s="5">
        <v>0.2</v>
      </c>
      <c r="I493" t="s">
        <v>22</v>
      </c>
      <c r="J493" t="s">
        <v>49</v>
      </c>
      <c r="K493" t="s">
        <v>33</v>
      </c>
      <c r="L493">
        <v>4178.0200000000004</v>
      </c>
      <c r="M493" s="2" t="str">
        <f t="shared" si="14"/>
        <v>Mar</v>
      </c>
      <c r="N493" s="2" t="str">
        <f t="shared" si="15"/>
        <v>low</v>
      </c>
      <c r="O493" s="2"/>
    </row>
    <row r="494" spans="1:15">
      <c r="A494" t="s">
        <v>552</v>
      </c>
      <c r="B494" s="1">
        <v>45369</v>
      </c>
      <c r="C494" t="s">
        <v>20</v>
      </c>
      <c r="D494" t="s">
        <v>57</v>
      </c>
      <c r="E494" t="s">
        <v>80</v>
      </c>
      <c r="F494">
        <v>2</v>
      </c>
      <c r="G494">
        <v>5603.24</v>
      </c>
      <c r="H494" s="5">
        <v>0</v>
      </c>
      <c r="I494" t="s">
        <v>22</v>
      </c>
      <c r="J494" t="s">
        <v>29</v>
      </c>
      <c r="K494" t="s">
        <v>18</v>
      </c>
      <c r="L494">
        <f>(F494*G494)-(F494*G494)*H494</f>
        <v>11206.48</v>
      </c>
      <c r="M494" s="2" t="str">
        <f t="shared" si="14"/>
        <v>Mar</v>
      </c>
      <c r="N494" s="2" t="str">
        <f t="shared" si="15"/>
        <v>medium</v>
      </c>
      <c r="O494" s="2"/>
    </row>
    <row r="495" spans="1:15">
      <c r="A495" t="s">
        <v>553</v>
      </c>
      <c r="B495" s="1">
        <v>45518</v>
      </c>
      <c r="C495" t="s">
        <v>13</v>
      </c>
      <c r="D495" t="s">
        <v>74</v>
      </c>
      <c r="E495" t="s">
        <v>47</v>
      </c>
      <c r="F495">
        <v>1</v>
      </c>
      <c r="G495">
        <v>879.03</v>
      </c>
      <c r="H495" s="5">
        <v>0.2</v>
      </c>
      <c r="I495" t="s">
        <v>16</v>
      </c>
      <c r="J495" t="s">
        <v>17</v>
      </c>
      <c r="K495" t="s">
        <v>18</v>
      </c>
      <c r="L495">
        <v>703.22</v>
      </c>
      <c r="M495" s="2" t="str">
        <f t="shared" si="14"/>
        <v>Aug</v>
      </c>
      <c r="N495" s="2" t="str">
        <f t="shared" si="15"/>
        <v>low</v>
      </c>
      <c r="O495" s="2"/>
    </row>
    <row r="496" spans="1:15">
      <c r="A496" t="s">
        <v>554</v>
      </c>
      <c r="B496" s="1">
        <v>45631</v>
      </c>
      <c r="C496" t="s">
        <v>20</v>
      </c>
      <c r="D496" t="s">
        <v>61</v>
      </c>
      <c r="E496" t="s">
        <v>44</v>
      </c>
      <c r="F496">
        <v>1</v>
      </c>
      <c r="G496">
        <v>7007.58</v>
      </c>
      <c r="H496" s="5">
        <v>0.2</v>
      </c>
      <c r="I496" t="s">
        <v>22</v>
      </c>
      <c r="J496" t="s">
        <v>17</v>
      </c>
      <c r="K496" t="s">
        <v>33</v>
      </c>
      <c r="L496">
        <v>5606.06</v>
      </c>
      <c r="M496" s="2" t="str">
        <f t="shared" si="14"/>
        <v>Dec</v>
      </c>
      <c r="N496" s="2" t="str">
        <f t="shared" si="15"/>
        <v>low</v>
      </c>
      <c r="O496" s="2"/>
    </row>
    <row r="497" spans="1:15">
      <c r="A497" t="s">
        <v>555</v>
      </c>
      <c r="B497" s="1">
        <v>45650</v>
      </c>
      <c r="C497" t="s">
        <v>38</v>
      </c>
      <c r="D497" t="s">
        <v>51</v>
      </c>
      <c r="E497" t="s">
        <v>80</v>
      </c>
      <c r="F497">
        <v>2</v>
      </c>
      <c r="G497">
        <v>7031.71</v>
      </c>
      <c r="H497" s="5">
        <v>0</v>
      </c>
      <c r="I497" t="s">
        <v>16</v>
      </c>
      <c r="J497" t="s">
        <v>17</v>
      </c>
      <c r="K497" t="s">
        <v>33</v>
      </c>
      <c r="L497">
        <v>14063.42</v>
      </c>
      <c r="M497" s="2" t="str">
        <f t="shared" si="14"/>
        <v>Dec</v>
      </c>
      <c r="N497" s="2" t="str">
        <f t="shared" si="15"/>
        <v>medium</v>
      </c>
      <c r="O497" s="2"/>
    </row>
    <row r="498" spans="1:15">
      <c r="A498" t="s">
        <v>556</v>
      </c>
      <c r="B498" s="1">
        <v>45486</v>
      </c>
      <c r="C498" t="s">
        <v>20</v>
      </c>
      <c r="D498" t="s">
        <v>78</v>
      </c>
      <c r="E498" t="s">
        <v>27</v>
      </c>
      <c r="F498">
        <v>5</v>
      </c>
      <c r="G498">
        <v>7384.66</v>
      </c>
      <c r="H498" s="5">
        <v>0</v>
      </c>
      <c r="I498" t="s">
        <v>55</v>
      </c>
      <c r="J498" t="s">
        <v>17</v>
      </c>
      <c r="K498" t="s">
        <v>18</v>
      </c>
      <c r="L498">
        <v>36923.300000000003</v>
      </c>
      <c r="M498" s="2" t="str">
        <f t="shared" si="14"/>
        <v>Jul</v>
      </c>
      <c r="N498" s="2" t="str">
        <f t="shared" si="15"/>
        <v>high</v>
      </c>
      <c r="O498" s="2"/>
    </row>
    <row r="499" spans="1:15">
      <c r="A499" t="s">
        <v>557</v>
      </c>
      <c r="B499" s="1">
        <v>45553</v>
      </c>
      <c r="C499" t="s">
        <v>20</v>
      </c>
      <c r="D499" t="s">
        <v>57</v>
      </c>
      <c r="E499" t="s">
        <v>47</v>
      </c>
      <c r="F499">
        <v>4</v>
      </c>
      <c r="G499">
        <v>1647.92</v>
      </c>
      <c r="H499" s="5">
        <v>0</v>
      </c>
      <c r="I499" t="s">
        <v>55</v>
      </c>
      <c r="J499" t="s">
        <v>40</v>
      </c>
      <c r="K499" t="s">
        <v>18</v>
      </c>
      <c r="L499">
        <v>6591.68</v>
      </c>
      <c r="M499" s="2" t="str">
        <f t="shared" si="14"/>
        <v>Sep</v>
      </c>
      <c r="N499" s="2" t="str">
        <f t="shared" si="15"/>
        <v>low</v>
      </c>
      <c r="O499" s="2"/>
    </row>
    <row r="500" spans="1:15">
      <c r="A500" t="s">
        <v>558</v>
      </c>
      <c r="B500" s="1">
        <v>45502</v>
      </c>
      <c r="C500" t="s">
        <v>38</v>
      </c>
      <c r="D500" t="s">
        <v>164</v>
      </c>
      <c r="E500" t="s">
        <v>27</v>
      </c>
      <c r="F500">
        <v>5</v>
      </c>
      <c r="G500">
        <v>1156.8399999999999</v>
      </c>
      <c r="H500" s="5">
        <v>0.15</v>
      </c>
      <c r="I500" t="s">
        <v>55</v>
      </c>
      <c r="J500" t="s">
        <v>49</v>
      </c>
      <c r="K500" t="s">
        <v>33</v>
      </c>
      <c r="L500">
        <v>4916.57</v>
      </c>
      <c r="M500" s="2" t="str">
        <f t="shared" si="14"/>
        <v>Jul</v>
      </c>
      <c r="N500" s="2" t="str">
        <f t="shared" si="15"/>
        <v>low</v>
      </c>
      <c r="O500" s="2"/>
    </row>
    <row r="501" spans="1:15">
      <c r="A501" t="s">
        <v>559</v>
      </c>
      <c r="B501" s="1">
        <v>45380</v>
      </c>
      <c r="C501" t="s">
        <v>25</v>
      </c>
      <c r="D501" t="s">
        <v>94</v>
      </c>
      <c r="E501" t="s">
        <v>47</v>
      </c>
      <c r="F501">
        <v>3</v>
      </c>
      <c r="G501">
        <v>5176.1499999999996</v>
      </c>
      <c r="H501" s="5">
        <v>0</v>
      </c>
      <c r="I501" t="s">
        <v>55</v>
      </c>
      <c r="J501" t="s">
        <v>17</v>
      </c>
      <c r="K501" t="s">
        <v>33</v>
      </c>
      <c r="L501">
        <v>15528.45</v>
      </c>
      <c r="M501" s="2" t="str">
        <f t="shared" si="14"/>
        <v>Mar</v>
      </c>
      <c r="N501" s="2" t="str">
        <f t="shared" si="15"/>
        <v>medium</v>
      </c>
      <c r="O501" s="2"/>
    </row>
    <row r="502" spans="1:15">
      <c r="A502" t="s">
        <v>560</v>
      </c>
      <c r="B502" s="1">
        <v>45531</v>
      </c>
      <c r="C502" t="s">
        <v>20</v>
      </c>
      <c r="D502" t="s">
        <v>78</v>
      </c>
      <c r="E502" t="s">
        <v>32</v>
      </c>
      <c r="F502">
        <v>4</v>
      </c>
      <c r="G502">
        <v>5868.27</v>
      </c>
      <c r="H502" s="5">
        <v>0</v>
      </c>
      <c r="I502" t="s">
        <v>16</v>
      </c>
      <c r="J502" t="s">
        <v>29</v>
      </c>
      <c r="K502" t="s">
        <v>33</v>
      </c>
      <c r="L502">
        <v>23473.08</v>
      </c>
      <c r="M502" s="2" t="str">
        <f t="shared" si="14"/>
        <v>Aug</v>
      </c>
      <c r="N502" s="2" t="str">
        <f t="shared" si="15"/>
        <v>high</v>
      </c>
      <c r="O502" s="2"/>
    </row>
    <row r="503" spans="1:15">
      <c r="A503" t="s">
        <v>561</v>
      </c>
      <c r="B503" s="1">
        <v>45347</v>
      </c>
      <c r="C503" t="s">
        <v>38</v>
      </c>
      <c r="D503" t="s">
        <v>100</v>
      </c>
      <c r="E503" t="s">
        <v>15</v>
      </c>
      <c r="F503">
        <v>2</v>
      </c>
      <c r="G503">
        <v>690.24</v>
      </c>
      <c r="H503" s="5">
        <v>0</v>
      </c>
      <c r="I503" t="s">
        <v>28</v>
      </c>
      <c r="J503" t="s">
        <v>49</v>
      </c>
      <c r="K503" t="s">
        <v>33</v>
      </c>
      <c r="L503">
        <v>1380.48</v>
      </c>
      <c r="M503" s="2" t="str">
        <f t="shared" si="14"/>
        <v>Feb</v>
      </c>
      <c r="N503" s="2" t="str">
        <f t="shared" si="15"/>
        <v>low</v>
      </c>
      <c r="O503" s="2"/>
    </row>
    <row r="504" spans="1:15">
      <c r="A504" t="s">
        <v>562</v>
      </c>
      <c r="B504" s="1">
        <v>45460</v>
      </c>
      <c r="C504" t="s">
        <v>20</v>
      </c>
      <c r="D504" t="s">
        <v>61</v>
      </c>
      <c r="E504" t="s">
        <v>15</v>
      </c>
      <c r="F504">
        <v>3</v>
      </c>
      <c r="G504">
        <v>3176.28</v>
      </c>
      <c r="H504" s="5">
        <v>0.25</v>
      </c>
      <c r="I504" t="s">
        <v>22</v>
      </c>
      <c r="J504" t="s">
        <v>40</v>
      </c>
      <c r="K504" t="s">
        <v>33</v>
      </c>
      <c r="L504">
        <v>7146.63</v>
      </c>
      <c r="M504" s="2" t="str">
        <f t="shared" si="14"/>
        <v>Jun</v>
      </c>
      <c r="N504" s="2" t="str">
        <f t="shared" si="15"/>
        <v>low</v>
      </c>
      <c r="O504" s="2"/>
    </row>
    <row r="505" spans="1:15">
      <c r="A505" t="s">
        <v>563</v>
      </c>
      <c r="B505" s="1">
        <v>45332</v>
      </c>
      <c r="C505" t="s">
        <v>35</v>
      </c>
      <c r="D505" t="s">
        <v>97</v>
      </c>
      <c r="E505" t="s">
        <v>27</v>
      </c>
      <c r="F505">
        <v>2</v>
      </c>
      <c r="G505">
        <v>2005.64</v>
      </c>
      <c r="H505" s="5">
        <v>0.1</v>
      </c>
      <c r="I505" t="s">
        <v>55</v>
      </c>
      <c r="J505" t="s">
        <v>23</v>
      </c>
      <c r="K505" t="s">
        <v>33</v>
      </c>
      <c r="L505">
        <v>3610.15</v>
      </c>
      <c r="M505" s="2" t="str">
        <f t="shared" si="14"/>
        <v>Feb</v>
      </c>
      <c r="N505" s="2" t="str">
        <f t="shared" si="15"/>
        <v>low</v>
      </c>
      <c r="O505" s="2"/>
    </row>
    <row r="506" spans="1:15">
      <c r="A506" t="s">
        <v>564</v>
      </c>
      <c r="B506" s="1">
        <v>45562</v>
      </c>
      <c r="C506" t="s">
        <v>35</v>
      </c>
      <c r="D506" t="s">
        <v>65</v>
      </c>
      <c r="E506" t="s">
        <v>47</v>
      </c>
      <c r="F506">
        <v>6</v>
      </c>
      <c r="G506">
        <v>2520.21</v>
      </c>
      <c r="H506" s="5">
        <v>0</v>
      </c>
      <c r="I506" t="s">
        <v>16</v>
      </c>
      <c r="J506" t="s">
        <v>17</v>
      </c>
      <c r="K506" t="s">
        <v>33</v>
      </c>
      <c r="L506">
        <v>15121.26</v>
      </c>
      <c r="M506" s="2" t="str">
        <f t="shared" si="14"/>
        <v>Sep</v>
      </c>
      <c r="N506" s="2" t="str">
        <f t="shared" si="15"/>
        <v>medium</v>
      </c>
      <c r="O506" s="2"/>
    </row>
    <row r="507" spans="1:15">
      <c r="A507" t="s">
        <v>565</v>
      </c>
      <c r="B507" s="1">
        <v>45482</v>
      </c>
      <c r="C507" t="s">
        <v>35</v>
      </c>
      <c r="D507" t="s">
        <v>65</v>
      </c>
      <c r="E507" t="s">
        <v>27</v>
      </c>
      <c r="F507">
        <v>4</v>
      </c>
      <c r="G507">
        <v>7878.73</v>
      </c>
      <c r="H507" s="5">
        <v>0.1</v>
      </c>
      <c r="I507" t="s">
        <v>16</v>
      </c>
      <c r="J507" t="s">
        <v>29</v>
      </c>
      <c r="K507" t="s">
        <v>33</v>
      </c>
      <c r="L507">
        <v>28363.43</v>
      </c>
      <c r="M507" s="2" t="str">
        <f t="shared" si="14"/>
        <v>Jul</v>
      </c>
      <c r="N507" s="2" t="str">
        <f t="shared" si="15"/>
        <v>high</v>
      </c>
      <c r="O507" s="2"/>
    </row>
    <row r="508" spans="1:15">
      <c r="A508" t="s">
        <v>566</v>
      </c>
      <c r="B508" s="1">
        <v>45389</v>
      </c>
      <c r="C508" t="s">
        <v>25</v>
      </c>
      <c r="D508" t="s">
        <v>87</v>
      </c>
      <c r="E508" t="s">
        <v>53</v>
      </c>
      <c r="F508">
        <v>3</v>
      </c>
      <c r="G508">
        <v>7794.04</v>
      </c>
      <c r="H508" s="5">
        <v>0.1</v>
      </c>
      <c r="I508" t="s">
        <v>28</v>
      </c>
      <c r="J508" t="s">
        <v>49</v>
      </c>
      <c r="K508" t="s">
        <v>33</v>
      </c>
      <c r="L508">
        <v>21043.91</v>
      </c>
      <c r="M508" s="2" t="str">
        <f t="shared" si="14"/>
        <v>Apr</v>
      </c>
      <c r="N508" s="2" t="str">
        <f t="shared" si="15"/>
        <v>high</v>
      </c>
      <c r="O508" s="2"/>
    </row>
    <row r="509" spans="1:15">
      <c r="A509" t="s">
        <v>567</v>
      </c>
      <c r="B509" s="1">
        <v>45645</v>
      </c>
      <c r="C509" t="s">
        <v>35</v>
      </c>
      <c r="D509" t="s">
        <v>68</v>
      </c>
      <c r="E509" t="s">
        <v>44</v>
      </c>
      <c r="F509">
        <v>4</v>
      </c>
      <c r="G509">
        <v>6293.3</v>
      </c>
      <c r="H509" s="5">
        <v>0.15</v>
      </c>
      <c r="I509" t="s">
        <v>16</v>
      </c>
      <c r="J509" t="s">
        <v>29</v>
      </c>
      <c r="K509" t="s">
        <v>33</v>
      </c>
      <c r="L509">
        <v>21397.22</v>
      </c>
      <c r="M509" s="2" t="str">
        <f t="shared" si="14"/>
        <v>Dec</v>
      </c>
      <c r="N509" s="2" t="str">
        <f t="shared" si="15"/>
        <v>high</v>
      </c>
      <c r="O509" s="2"/>
    </row>
    <row r="510" spans="1:15">
      <c r="A510" t="s">
        <v>568</v>
      </c>
      <c r="B510" s="1">
        <v>45334</v>
      </c>
      <c r="C510" t="s">
        <v>25</v>
      </c>
      <c r="D510" t="s">
        <v>46</v>
      </c>
      <c r="E510" t="s">
        <v>15</v>
      </c>
      <c r="F510">
        <v>1</v>
      </c>
      <c r="G510">
        <v>4666.24</v>
      </c>
      <c r="H510" s="5">
        <v>0</v>
      </c>
      <c r="I510" t="s">
        <v>28</v>
      </c>
      <c r="J510" t="s">
        <v>23</v>
      </c>
      <c r="K510" t="s">
        <v>33</v>
      </c>
      <c r="L510">
        <v>4666.24</v>
      </c>
      <c r="M510" s="2" t="str">
        <f t="shared" si="14"/>
        <v>Feb</v>
      </c>
      <c r="N510" s="2" t="str">
        <f t="shared" si="15"/>
        <v>low</v>
      </c>
      <c r="O510" s="2"/>
    </row>
    <row r="511" spans="1:15">
      <c r="A511" t="s">
        <v>569</v>
      </c>
      <c r="B511" s="1">
        <v>45542</v>
      </c>
      <c r="C511" t="s">
        <v>25</v>
      </c>
      <c r="D511" t="s">
        <v>94</v>
      </c>
      <c r="E511" t="s">
        <v>1160</v>
      </c>
      <c r="F511">
        <v>1</v>
      </c>
      <c r="G511">
        <v>3836.05</v>
      </c>
      <c r="H511" s="5">
        <v>0.1</v>
      </c>
      <c r="I511" t="s">
        <v>16</v>
      </c>
      <c r="J511" t="s">
        <v>23</v>
      </c>
      <c r="K511" t="s">
        <v>33</v>
      </c>
      <c r="L511">
        <v>3452.45</v>
      </c>
      <c r="M511" s="2" t="str">
        <f t="shared" si="14"/>
        <v>Sep</v>
      </c>
      <c r="N511" s="2" t="str">
        <f t="shared" si="15"/>
        <v>low</v>
      </c>
      <c r="O511" s="2"/>
    </row>
    <row r="512" spans="1:15">
      <c r="A512" t="s">
        <v>570</v>
      </c>
      <c r="B512" s="1">
        <v>45565</v>
      </c>
      <c r="C512" t="s">
        <v>25</v>
      </c>
      <c r="D512" t="s">
        <v>26</v>
      </c>
      <c r="E512" t="s">
        <v>27</v>
      </c>
      <c r="F512">
        <v>4</v>
      </c>
      <c r="G512">
        <v>4843.21</v>
      </c>
      <c r="H512" s="5">
        <v>0.1</v>
      </c>
      <c r="I512" t="s">
        <v>16</v>
      </c>
      <c r="J512" t="s">
        <v>23</v>
      </c>
      <c r="K512" t="s">
        <v>33</v>
      </c>
      <c r="L512">
        <v>17435.560000000001</v>
      </c>
      <c r="M512" s="2" t="str">
        <f t="shared" si="14"/>
        <v>Sep</v>
      </c>
      <c r="N512" s="2" t="str">
        <f t="shared" si="15"/>
        <v>medium</v>
      </c>
      <c r="O512" s="2"/>
    </row>
    <row r="513" spans="1:15">
      <c r="A513" t="s">
        <v>571</v>
      </c>
      <c r="B513" s="1">
        <v>45351</v>
      </c>
      <c r="C513" t="s">
        <v>20</v>
      </c>
      <c r="D513" t="s">
        <v>78</v>
      </c>
      <c r="E513" t="s">
        <v>27</v>
      </c>
      <c r="F513">
        <v>3</v>
      </c>
      <c r="G513">
        <v>6047.07</v>
      </c>
      <c r="H513" s="5">
        <v>0.05</v>
      </c>
      <c r="I513" t="s">
        <v>16</v>
      </c>
      <c r="J513" t="s">
        <v>17</v>
      </c>
      <c r="K513" t="s">
        <v>33</v>
      </c>
      <c r="L513">
        <v>17234.150000000001</v>
      </c>
      <c r="M513" s="2" t="str">
        <f t="shared" si="14"/>
        <v>Feb</v>
      </c>
      <c r="N513" s="2" t="str">
        <f t="shared" si="15"/>
        <v>medium</v>
      </c>
      <c r="O513" s="2"/>
    </row>
    <row r="514" spans="1:15">
      <c r="A514" t="s">
        <v>572</v>
      </c>
      <c r="B514" s="1">
        <v>45629</v>
      </c>
      <c r="C514" t="s">
        <v>25</v>
      </c>
      <c r="D514" t="s">
        <v>46</v>
      </c>
      <c r="E514" t="s">
        <v>27</v>
      </c>
      <c r="F514">
        <v>6</v>
      </c>
      <c r="G514">
        <v>253.12</v>
      </c>
      <c r="H514" s="5">
        <v>0.15</v>
      </c>
      <c r="I514" t="s">
        <v>16</v>
      </c>
      <c r="J514" t="s">
        <v>40</v>
      </c>
      <c r="K514" t="s">
        <v>33</v>
      </c>
      <c r="L514">
        <v>1290.9100000000001</v>
      </c>
      <c r="M514" s="2" t="str">
        <f t="shared" ref="M514:M577" si="16">TEXT(B514,"mmm")</f>
        <v>Dec</v>
      </c>
      <c r="N514" s="2" t="str">
        <f t="shared" ref="N514:N577" si="17">IF(L514&gt;20000,"high",IF(L514&gt;10000,"medium","low"))</f>
        <v>low</v>
      </c>
      <c r="O514" s="2"/>
    </row>
    <row r="515" spans="1:15">
      <c r="A515" t="s">
        <v>573</v>
      </c>
      <c r="B515" s="1">
        <v>45362</v>
      </c>
      <c r="C515" t="s">
        <v>13</v>
      </c>
      <c r="D515" t="s">
        <v>76</v>
      </c>
      <c r="E515" t="s">
        <v>27</v>
      </c>
      <c r="F515">
        <v>2</v>
      </c>
      <c r="G515">
        <v>3017.63</v>
      </c>
      <c r="H515" s="5">
        <v>0.15</v>
      </c>
      <c r="I515" t="s">
        <v>16</v>
      </c>
      <c r="J515" t="s">
        <v>17</v>
      </c>
      <c r="K515" t="s">
        <v>33</v>
      </c>
      <c r="L515">
        <v>5129.97</v>
      </c>
      <c r="M515" s="2" t="str">
        <f t="shared" si="16"/>
        <v>Mar</v>
      </c>
      <c r="N515" s="2" t="str">
        <f t="shared" si="17"/>
        <v>low</v>
      </c>
      <c r="O515" s="2"/>
    </row>
    <row r="516" spans="1:15">
      <c r="A516" t="s">
        <v>574</v>
      </c>
      <c r="B516" s="1">
        <v>45467</v>
      </c>
      <c r="C516" t="s">
        <v>13</v>
      </c>
      <c r="D516" t="s">
        <v>108</v>
      </c>
      <c r="E516" t="s">
        <v>32</v>
      </c>
      <c r="F516">
        <v>4</v>
      </c>
      <c r="G516">
        <v>7356.24</v>
      </c>
      <c r="H516" s="5">
        <v>0.1</v>
      </c>
      <c r="I516" t="s">
        <v>28</v>
      </c>
      <c r="J516" t="s">
        <v>29</v>
      </c>
      <c r="K516" t="s">
        <v>18</v>
      </c>
      <c r="L516">
        <v>26482.46</v>
      </c>
      <c r="M516" s="2" t="str">
        <f t="shared" si="16"/>
        <v>Jun</v>
      </c>
      <c r="N516" s="2" t="str">
        <f t="shared" si="17"/>
        <v>high</v>
      </c>
      <c r="O516" s="2"/>
    </row>
    <row r="517" spans="1:15">
      <c r="A517" t="s">
        <v>575</v>
      </c>
      <c r="B517" s="1">
        <v>45309</v>
      </c>
      <c r="C517" t="s">
        <v>20</v>
      </c>
      <c r="D517" t="s">
        <v>61</v>
      </c>
      <c r="E517" t="s">
        <v>1160</v>
      </c>
      <c r="F517">
        <v>2</v>
      </c>
      <c r="G517">
        <v>5649.59</v>
      </c>
      <c r="H517" s="5">
        <v>0.1</v>
      </c>
      <c r="I517" t="s">
        <v>16</v>
      </c>
      <c r="J517" t="s">
        <v>40</v>
      </c>
      <c r="K517" t="s">
        <v>33</v>
      </c>
      <c r="L517">
        <v>10169.26</v>
      </c>
      <c r="M517" s="2" t="str">
        <f t="shared" si="16"/>
        <v>Jan</v>
      </c>
      <c r="N517" s="2" t="str">
        <f t="shared" si="17"/>
        <v>medium</v>
      </c>
      <c r="O517" s="2"/>
    </row>
    <row r="518" spans="1:15">
      <c r="A518" t="s">
        <v>576</v>
      </c>
      <c r="B518" s="1">
        <v>45388</v>
      </c>
      <c r="C518" t="s">
        <v>20</v>
      </c>
      <c r="D518" t="s">
        <v>78</v>
      </c>
      <c r="E518" t="s">
        <v>44</v>
      </c>
      <c r="F518">
        <v>1</v>
      </c>
      <c r="G518">
        <v>5731.62</v>
      </c>
      <c r="H518" s="5">
        <v>0</v>
      </c>
      <c r="I518" t="s">
        <v>16</v>
      </c>
      <c r="J518" t="s">
        <v>23</v>
      </c>
      <c r="K518" t="s">
        <v>18</v>
      </c>
      <c r="L518">
        <v>5731.62</v>
      </c>
      <c r="M518" s="2" t="str">
        <f t="shared" si="16"/>
        <v>Apr</v>
      </c>
      <c r="N518" s="2" t="str">
        <f t="shared" si="17"/>
        <v>low</v>
      </c>
      <c r="O518" s="2"/>
    </row>
    <row r="519" spans="1:15">
      <c r="A519" t="s">
        <v>577</v>
      </c>
      <c r="B519" s="1">
        <v>45484</v>
      </c>
      <c r="C519" t="s">
        <v>25</v>
      </c>
      <c r="D519" t="s">
        <v>94</v>
      </c>
      <c r="E519" t="s">
        <v>47</v>
      </c>
      <c r="F519">
        <v>2</v>
      </c>
      <c r="G519">
        <v>2531.7800000000002</v>
      </c>
      <c r="H519" s="5">
        <v>0.15</v>
      </c>
      <c r="I519" t="s">
        <v>55</v>
      </c>
      <c r="J519" t="s">
        <v>29</v>
      </c>
      <c r="K519" t="s">
        <v>18</v>
      </c>
      <c r="L519">
        <v>4304.03</v>
      </c>
      <c r="M519" s="2" t="str">
        <f t="shared" si="16"/>
        <v>Jul</v>
      </c>
      <c r="N519" s="2" t="str">
        <f t="shared" si="17"/>
        <v>low</v>
      </c>
      <c r="O519" s="2"/>
    </row>
    <row r="520" spans="1:15">
      <c r="A520" t="s">
        <v>578</v>
      </c>
      <c r="B520" s="1">
        <v>45393</v>
      </c>
      <c r="C520" t="s">
        <v>38</v>
      </c>
      <c r="D520" t="s">
        <v>39</v>
      </c>
      <c r="E520" t="s">
        <v>1160</v>
      </c>
      <c r="F520">
        <v>5</v>
      </c>
      <c r="G520">
        <v>4095.6</v>
      </c>
      <c r="H520" s="5">
        <v>0</v>
      </c>
      <c r="I520" t="s">
        <v>22</v>
      </c>
      <c r="J520" t="s">
        <v>40</v>
      </c>
      <c r="K520" t="s">
        <v>33</v>
      </c>
      <c r="L520">
        <v>20478</v>
      </c>
      <c r="M520" s="2" t="str">
        <f t="shared" si="16"/>
        <v>Apr</v>
      </c>
      <c r="N520" s="2" t="str">
        <f t="shared" si="17"/>
        <v>high</v>
      </c>
      <c r="O520" s="2"/>
    </row>
    <row r="521" spans="1:15">
      <c r="A521" t="s">
        <v>579</v>
      </c>
      <c r="B521" s="1">
        <v>45578</v>
      </c>
      <c r="C521" t="s">
        <v>20</v>
      </c>
      <c r="D521" t="s">
        <v>21</v>
      </c>
      <c r="E521" t="s">
        <v>1160</v>
      </c>
      <c r="F521">
        <v>6</v>
      </c>
      <c r="G521">
        <v>5192.17</v>
      </c>
      <c r="H521" s="5">
        <v>0.15</v>
      </c>
      <c r="I521" t="s">
        <v>22</v>
      </c>
      <c r="J521" t="s">
        <v>17</v>
      </c>
      <c r="K521" t="s">
        <v>33</v>
      </c>
      <c r="L521">
        <v>26480.07</v>
      </c>
      <c r="M521" s="2" t="str">
        <f t="shared" si="16"/>
        <v>Oct</v>
      </c>
      <c r="N521" s="2" t="str">
        <f t="shared" si="17"/>
        <v>high</v>
      </c>
      <c r="O521" s="2"/>
    </row>
    <row r="522" spans="1:15">
      <c r="A522" t="s">
        <v>580</v>
      </c>
      <c r="B522" s="1">
        <v>45446</v>
      </c>
      <c r="C522" t="s">
        <v>38</v>
      </c>
      <c r="D522" t="s">
        <v>100</v>
      </c>
      <c r="E522" t="s">
        <v>80</v>
      </c>
      <c r="F522">
        <v>5</v>
      </c>
      <c r="G522">
        <v>6671.41</v>
      </c>
      <c r="H522" s="5">
        <v>0.1</v>
      </c>
      <c r="I522" t="s">
        <v>55</v>
      </c>
      <c r="J522" t="s">
        <v>23</v>
      </c>
      <c r="K522" t="s">
        <v>18</v>
      </c>
      <c r="L522">
        <v>30021.35</v>
      </c>
      <c r="M522" s="2" t="str">
        <f t="shared" si="16"/>
        <v>Jun</v>
      </c>
      <c r="N522" s="2" t="str">
        <f t="shared" si="17"/>
        <v>high</v>
      </c>
      <c r="O522" s="2"/>
    </row>
    <row r="523" spans="1:15">
      <c r="A523" t="s">
        <v>581</v>
      </c>
      <c r="B523" s="1">
        <v>45602</v>
      </c>
      <c r="C523" t="s">
        <v>35</v>
      </c>
      <c r="D523" t="s">
        <v>36</v>
      </c>
      <c r="E523" t="s">
        <v>32</v>
      </c>
      <c r="F523">
        <v>2</v>
      </c>
      <c r="G523">
        <v>273.98</v>
      </c>
      <c r="H523" s="5">
        <v>0.25</v>
      </c>
      <c r="I523" t="s">
        <v>55</v>
      </c>
      <c r="J523" t="s">
        <v>17</v>
      </c>
      <c r="K523" t="s">
        <v>33</v>
      </c>
      <c r="L523">
        <v>410.97</v>
      </c>
      <c r="M523" s="2" t="str">
        <f t="shared" si="16"/>
        <v>Nov</v>
      </c>
      <c r="N523" s="2" t="str">
        <f t="shared" si="17"/>
        <v>low</v>
      </c>
      <c r="O523" s="2"/>
    </row>
    <row r="524" spans="1:15">
      <c r="A524" t="s">
        <v>582</v>
      </c>
      <c r="B524" s="1">
        <v>45361</v>
      </c>
      <c r="C524" t="s">
        <v>25</v>
      </c>
      <c r="D524" t="s">
        <v>31</v>
      </c>
      <c r="E524" t="s">
        <v>27</v>
      </c>
      <c r="F524">
        <v>4</v>
      </c>
      <c r="G524">
        <v>7959.33</v>
      </c>
      <c r="H524" s="5">
        <v>0.1</v>
      </c>
      <c r="I524" t="s">
        <v>16</v>
      </c>
      <c r="J524" t="s">
        <v>23</v>
      </c>
      <c r="K524" t="s">
        <v>33</v>
      </c>
      <c r="L524">
        <v>28653.59</v>
      </c>
      <c r="M524" s="2" t="str">
        <f t="shared" si="16"/>
        <v>Mar</v>
      </c>
      <c r="N524" s="2" t="str">
        <f t="shared" si="17"/>
        <v>high</v>
      </c>
      <c r="O524" s="2"/>
    </row>
    <row r="525" spans="1:15">
      <c r="A525" t="s">
        <v>583</v>
      </c>
      <c r="B525" s="1">
        <v>45514</v>
      </c>
      <c r="C525" t="s">
        <v>38</v>
      </c>
      <c r="D525" t="s">
        <v>100</v>
      </c>
      <c r="E525" t="s">
        <v>32</v>
      </c>
      <c r="F525">
        <v>4</v>
      </c>
      <c r="G525">
        <v>5624.54</v>
      </c>
      <c r="H525" s="5">
        <v>0</v>
      </c>
      <c r="I525" t="s">
        <v>55</v>
      </c>
      <c r="J525" t="s">
        <v>23</v>
      </c>
      <c r="K525" t="s">
        <v>33</v>
      </c>
      <c r="L525">
        <v>22498.16</v>
      </c>
      <c r="M525" s="2" t="str">
        <f t="shared" si="16"/>
        <v>Aug</v>
      </c>
      <c r="N525" s="2" t="str">
        <f t="shared" si="17"/>
        <v>high</v>
      </c>
      <c r="O525" s="2"/>
    </row>
    <row r="526" spans="1:15">
      <c r="A526" t="s">
        <v>584</v>
      </c>
      <c r="B526" s="1">
        <v>45554</v>
      </c>
      <c r="C526" t="s">
        <v>38</v>
      </c>
      <c r="D526" t="s">
        <v>164</v>
      </c>
      <c r="E526" t="s">
        <v>47</v>
      </c>
      <c r="F526">
        <v>4</v>
      </c>
      <c r="G526">
        <v>6445.94</v>
      </c>
      <c r="H526" s="5">
        <v>0.05</v>
      </c>
      <c r="I526" t="s">
        <v>28</v>
      </c>
      <c r="J526" t="s">
        <v>17</v>
      </c>
      <c r="K526" t="s">
        <v>33</v>
      </c>
      <c r="L526">
        <v>24494.57</v>
      </c>
      <c r="M526" s="2" t="str">
        <f t="shared" si="16"/>
        <v>Sep</v>
      </c>
      <c r="N526" s="2" t="str">
        <f t="shared" si="17"/>
        <v>high</v>
      </c>
      <c r="O526" s="2"/>
    </row>
    <row r="527" spans="1:15">
      <c r="A527" t="s">
        <v>585</v>
      </c>
      <c r="B527" s="1">
        <v>45557</v>
      </c>
      <c r="C527" t="s">
        <v>25</v>
      </c>
      <c r="D527" t="s">
        <v>31</v>
      </c>
      <c r="E527" t="s">
        <v>47</v>
      </c>
      <c r="F527">
        <v>2</v>
      </c>
      <c r="G527">
        <v>1229.3499999999999</v>
      </c>
      <c r="H527" s="5">
        <v>0</v>
      </c>
      <c r="I527" t="s">
        <v>16</v>
      </c>
      <c r="J527" t="s">
        <v>40</v>
      </c>
      <c r="K527" t="s">
        <v>33</v>
      </c>
      <c r="L527">
        <v>2458.6999999999998</v>
      </c>
      <c r="M527" s="2" t="str">
        <f t="shared" si="16"/>
        <v>Sep</v>
      </c>
      <c r="N527" s="2" t="str">
        <f t="shared" si="17"/>
        <v>low</v>
      </c>
      <c r="O527" s="2"/>
    </row>
    <row r="528" spans="1:15">
      <c r="A528" t="s">
        <v>586</v>
      </c>
      <c r="B528" s="1">
        <v>45446</v>
      </c>
      <c r="C528" t="s">
        <v>38</v>
      </c>
      <c r="D528" t="s">
        <v>164</v>
      </c>
      <c r="E528" t="s">
        <v>15</v>
      </c>
      <c r="F528">
        <v>6</v>
      </c>
      <c r="G528">
        <v>5119.09</v>
      </c>
      <c r="H528" s="5">
        <v>0.05</v>
      </c>
      <c r="I528" t="s">
        <v>28</v>
      </c>
      <c r="J528" t="s">
        <v>49</v>
      </c>
      <c r="K528" t="s">
        <v>33</v>
      </c>
      <c r="L528">
        <v>29178.81</v>
      </c>
      <c r="M528" s="2" t="str">
        <f t="shared" si="16"/>
        <v>Jun</v>
      </c>
      <c r="N528" s="2" t="str">
        <f t="shared" si="17"/>
        <v>high</v>
      </c>
      <c r="O528" s="2"/>
    </row>
    <row r="529" spans="1:15">
      <c r="A529" t="s">
        <v>587</v>
      </c>
      <c r="B529" s="1">
        <v>45517</v>
      </c>
      <c r="C529" t="s">
        <v>13</v>
      </c>
      <c r="D529" t="s">
        <v>76</v>
      </c>
      <c r="E529" t="s">
        <v>1160</v>
      </c>
      <c r="F529">
        <v>1</v>
      </c>
      <c r="G529">
        <v>1070.8699999999999</v>
      </c>
      <c r="H529" s="5">
        <v>0.15</v>
      </c>
      <c r="I529" t="s">
        <v>22</v>
      </c>
      <c r="J529" t="s">
        <v>40</v>
      </c>
      <c r="K529" t="s">
        <v>33</v>
      </c>
      <c r="L529">
        <v>910.24</v>
      </c>
      <c r="M529" s="2" t="str">
        <f t="shared" si="16"/>
        <v>Aug</v>
      </c>
      <c r="N529" s="2" t="str">
        <f t="shared" si="17"/>
        <v>low</v>
      </c>
      <c r="O529" s="2"/>
    </row>
    <row r="530" spans="1:15">
      <c r="A530" t="s">
        <v>588</v>
      </c>
      <c r="B530" s="1">
        <v>45587</v>
      </c>
      <c r="C530" t="s">
        <v>25</v>
      </c>
      <c r="D530" t="s">
        <v>31</v>
      </c>
      <c r="E530" t="s">
        <v>44</v>
      </c>
      <c r="F530">
        <v>4</v>
      </c>
      <c r="G530">
        <v>4644.7700000000004</v>
      </c>
      <c r="H530" s="5">
        <v>0.05</v>
      </c>
      <c r="I530" t="s">
        <v>16</v>
      </c>
      <c r="J530" t="s">
        <v>29</v>
      </c>
      <c r="K530" t="s">
        <v>33</v>
      </c>
      <c r="L530">
        <v>17650.13</v>
      </c>
      <c r="M530" s="2" t="str">
        <f t="shared" si="16"/>
        <v>Oct</v>
      </c>
      <c r="N530" s="2" t="str">
        <f t="shared" si="17"/>
        <v>medium</v>
      </c>
      <c r="O530" s="2"/>
    </row>
    <row r="531" spans="1:15">
      <c r="A531" t="s">
        <v>589</v>
      </c>
      <c r="B531" s="1">
        <v>45482</v>
      </c>
      <c r="C531" t="s">
        <v>20</v>
      </c>
      <c r="D531" t="s">
        <v>78</v>
      </c>
      <c r="E531" t="s">
        <v>27</v>
      </c>
      <c r="F531">
        <v>3</v>
      </c>
      <c r="G531">
        <v>7779.32</v>
      </c>
      <c r="H531" s="5">
        <v>0</v>
      </c>
      <c r="I531" t="s">
        <v>55</v>
      </c>
      <c r="J531" t="s">
        <v>49</v>
      </c>
      <c r="K531" t="s">
        <v>18</v>
      </c>
      <c r="L531">
        <v>23337.96</v>
      </c>
      <c r="M531" s="2" t="str">
        <f t="shared" si="16"/>
        <v>Jul</v>
      </c>
      <c r="N531" s="2" t="str">
        <f t="shared" si="17"/>
        <v>high</v>
      </c>
      <c r="O531" s="2"/>
    </row>
    <row r="532" spans="1:15">
      <c r="A532" t="s">
        <v>590</v>
      </c>
      <c r="B532" s="1">
        <v>45581</v>
      </c>
      <c r="C532" t="s">
        <v>13</v>
      </c>
      <c r="D532" t="s">
        <v>76</v>
      </c>
      <c r="E532" t="s">
        <v>1160</v>
      </c>
      <c r="F532">
        <v>1</v>
      </c>
      <c r="G532">
        <v>1337.97</v>
      </c>
      <c r="H532" s="5">
        <v>0</v>
      </c>
      <c r="I532" t="s">
        <v>22</v>
      </c>
      <c r="J532" t="s">
        <v>23</v>
      </c>
      <c r="K532" t="s">
        <v>33</v>
      </c>
      <c r="L532">
        <v>1337.97</v>
      </c>
      <c r="M532" s="2" t="str">
        <f t="shared" si="16"/>
        <v>Oct</v>
      </c>
      <c r="N532" s="2" t="str">
        <f t="shared" si="17"/>
        <v>low</v>
      </c>
      <c r="O532" s="2"/>
    </row>
    <row r="533" spans="1:15">
      <c r="A533" t="s">
        <v>591</v>
      </c>
      <c r="B533" s="1">
        <v>45519</v>
      </c>
      <c r="C533" t="s">
        <v>38</v>
      </c>
      <c r="D533" t="s">
        <v>100</v>
      </c>
      <c r="E533" t="s">
        <v>44</v>
      </c>
      <c r="F533">
        <v>4</v>
      </c>
      <c r="G533">
        <v>1066.2</v>
      </c>
      <c r="H533" s="5">
        <v>0.05</v>
      </c>
      <c r="I533" t="s">
        <v>16</v>
      </c>
      <c r="J533" t="s">
        <v>17</v>
      </c>
      <c r="K533" t="s">
        <v>33</v>
      </c>
      <c r="L533">
        <v>4051.56</v>
      </c>
      <c r="M533" s="2" t="str">
        <f t="shared" si="16"/>
        <v>Aug</v>
      </c>
      <c r="N533" s="2" t="str">
        <f t="shared" si="17"/>
        <v>low</v>
      </c>
      <c r="O533" s="2"/>
    </row>
    <row r="534" spans="1:15">
      <c r="A534" t="s">
        <v>592</v>
      </c>
      <c r="B534" s="1">
        <v>45327</v>
      </c>
      <c r="C534" t="s">
        <v>35</v>
      </c>
      <c r="D534" t="s">
        <v>65</v>
      </c>
      <c r="E534" t="s">
        <v>1160</v>
      </c>
      <c r="F534">
        <v>6</v>
      </c>
      <c r="G534">
        <v>6500.24</v>
      </c>
      <c r="H534" s="5">
        <v>0.25</v>
      </c>
      <c r="I534" t="s">
        <v>28</v>
      </c>
      <c r="J534" t="s">
        <v>49</v>
      </c>
      <c r="K534" t="s">
        <v>18</v>
      </c>
      <c r="L534">
        <v>29251.08</v>
      </c>
      <c r="M534" s="2" t="str">
        <f t="shared" si="16"/>
        <v>Feb</v>
      </c>
      <c r="N534" s="2" t="str">
        <f t="shared" si="17"/>
        <v>high</v>
      </c>
      <c r="O534" s="2"/>
    </row>
    <row r="535" spans="1:15">
      <c r="A535" t="s">
        <v>593</v>
      </c>
      <c r="B535" s="1">
        <v>45467</v>
      </c>
      <c r="C535" t="s">
        <v>25</v>
      </c>
      <c r="D535" t="s">
        <v>26</v>
      </c>
      <c r="E535" t="s">
        <v>44</v>
      </c>
      <c r="F535">
        <v>2</v>
      </c>
      <c r="G535">
        <v>4647.47</v>
      </c>
      <c r="H535" s="5">
        <v>0.15</v>
      </c>
      <c r="I535" t="s">
        <v>16</v>
      </c>
      <c r="J535" t="s">
        <v>29</v>
      </c>
      <c r="K535" t="s">
        <v>18</v>
      </c>
      <c r="L535">
        <v>7900.7</v>
      </c>
      <c r="M535" s="2" t="str">
        <f t="shared" si="16"/>
        <v>Jun</v>
      </c>
      <c r="N535" s="2" t="str">
        <f t="shared" si="17"/>
        <v>low</v>
      </c>
      <c r="O535" s="2"/>
    </row>
    <row r="536" spans="1:15">
      <c r="A536" t="s">
        <v>594</v>
      </c>
      <c r="B536" s="1">
        <v>45348</v>
      </c>
      <c r="C536" t="s">
        <v>13</v>
      </c>
      <c r="D536" t="s">
        <v>70</v>
      </c>
      <c r="E536" t="s">
        <v>32</v>
      </c>
      <c r="F536">
        <v>3</v>
      </c>
      <c r="G536">
        <v>3371.86</v>
      </c>
      <c r="H536" s="5">
        <v>0.05</v>
      </c>
      <c r="I536" t="s">
        <v>22</v>
      </c>
      <c r="J536" t="s">
        <v>23</v>
      </c>
      <c r="K536" t="s">
        <v>33</v>
      </c>
      <c r="L536">
        <v>9609.7999999999993</v>
      </c>
      <c r="M536" s="2" t="str">
        <f t="shared" si="16"/>
        <v>Feb</v>
      </c>
      <c r="N536" s="2" t="str">
        <f t="shared" si="17"/>
        <v>low</v>
      </c>
      <c r="O536" s="2"/>
    </row>
    <row r="537" spans="1:15">
      <c r="A537" t="s">
        <v>595</v>
      </c>
      <c r="B537" s="1">
        <v>45555</v>
      </c>
      <c r="C537" t="s">
        <v>13</v>
      </c>
      <c r="D537" t="s">
        <v>70</v>
      </c>
      <c r="E537" t="s">
        <v>47</v>
      </c>
      <c r="F537">
        <v>3</v>
      </c>
      <c r="G537">
        <v>2149.11</v>
      </c>
      <c r="H537" s="5">
        <v>0.1</v>
      </c>
      <c r="I537" t="s">
        <v>55</v>
      </c>
      <c r="J537" t="s">
        <v>49</v>
      </c>
      <c r="K537" t="s">
        <v>33</v>
      </c>
      <c r="L537">
        <v>5802.6</v>
      </c>
      <c r="M537" s="2" t="str">
        <f t="shared" si="16"/>
        <v>Sep</v>
      </c>
      <c r="N537" s="2" t="str">
        <f t="shared" si="17"/>
        <v>low</v>
      </c>
      <c r="O537" s="2"/>
    </row>
    <row r="538" spans="1:15">
      <c r="A538" t="s">
        <v>596</v>
      </c>
      <c r="B538" s="1">
        <v>45359</v>
      </c>
      <c r="C538" t="s">
        <v>25</v>
      </c>
      <c r="D538" t="s">
        <v>26</v>
      </c>
      <c r="E538" t="s">
        <v>44</v>
      </c>
      <c r="F538">
        <v>2</v>
      </c>
      <c r="G538">
        <v>5842.62</v>
      </c>
      <c r="H538" s="5">
        <v>0.05</v>
      </c>
      <c r="I538" t="s">
        <v>55</v>
      </c>
      <c r="J538" t="s">
        <v>23</v>
      </c>
      <c r="K538" t="s">
        <v>33</v>
      </c>
      <c r="L538">
        <v>11100.98</v>
      </c>
      <c r="M538" s="2" t="str">
        <f t="shared" si="16"/>
        <v>Mar</v>
      </c>
      <c r="N538" s="2" t="str">
        <f t="shared" si="17"/>
        <v>medium</v>
      </c>
      <c r="O538" s="2"/>
    </row>
    <row r="539" spans="1:15">
      <c r="A539" t="s">
        <v>597</v>
      </c>
      <c r="B539" s="1">
        <v>45382</v>
      </c>
      <c r="C539" t="s">
        <v>35</v>
      </c>
      <c r="D539" t="s">
        <v>65</v>
      </c>
      <c r="E539" t="s">
        <v>27</v>
      </c>
      <c r="F539">
        <v>5</v>
      </c>
      <c r="G539">
        <v>2768.16</v>
      </c>
      <c r="H539" s="5">
        <v>0.1</v>
      </c>
      <c r="I539" t="s">
        <v>55</v>
      </c>
      <c r="J539" t="s">
        <v>17</v>
      </c>
      <c r="K539" t="s">
        <v>33</v>
      </c>
      <c r="L539">
        <v>12456.72</v>
      </c>
      <c r="M539" s="2" t="str">
        <f t="shared" si="16"/>
        <v>Mar</v>
      </c>
      <c r="N539" s="2" t="str">
        <f t="shared" si="17"/>
        <v>medium</v>
      </c>
      <c r="O539" s="2"/>
    </row>
    <row r="540" spans="1:15">
      <c r="A540" t="s">
        <v>598</v>
      </c>
      <c r="B540" s="1">
        <v>45640</v>
      </c>
      <c r="C540" t="s">
        <v>20</v>
      </c>
      <c r="D540" t="s">
        <v>61</v>
      </c>
      <c r="E540" t="s">
        <v>80</v>
      </c>
      <c r="F540">
        <v>5</v>
      </c>
      <c r="G540">
        <v>2231.69</v>
      </c>
      <c r="H540" s="5">
        <v>0.2</v>
      </c>
      <c r="I540" t="s">
        <v>16</v>
      </c>
      <c r="J540" t="s">
        <v>49</v>
      </c>
      <c r="K540" t="s">
        <v>33</v>
      </c>
      <c r="L540">
        <v>8926.76</v>
      </c>
      <c r="M540" s="2" t="str">
        <f t="shared" si="16"/>
        <v>Dec</v>
      </c>
      <c r="N540" s="2" t="str">
        <f t="shared" si="17"/>
        <v>low</v>
      </c>
      <c r="O540" s="2"/>
    </row>
    <row r="541" spans="1:15">
      <c r="A541" t="s">
        <v>599</v>
      </c>
      <c r="B541" s="1">
        <v>45441</v>
      </c>
      <c r="C541" t="s">
        <v>13</v>
      </c>
      <c r="D541" t="s">
        <v>70</v>
      </c>
      <c r="E541" t="s">
        <v>1160</v>
      </c>
      <c r="F541">
        <v>3</v>
      </c>
      <c r="G541">
        <v>6329.92</v>
      </c>
      <c r="H541" s="5">
        <v>0</v>
      </c>
      <c r="I541" t="s">
        <v>22</v>
      </c>
      <c r="J541" t="s">
        <v>40</v>
      </c>
      <c r="K541" t="s">
        <v>33</v>
      </c>
      <c r="L541">
        <v>18989.759999999998</v>
      </c>
      <c r="M541" s="2" t="str">
        <f t="shared" si="16"/>
        <v>May</v>
      </c>
      <c r="N541" s="2" t="str">
        <f t="shared" si="17"/>
        <v>medium</v>
      </c>
      <c r="O541" s="2"/>
    </row>
    <row r="542" spans="1:15">
      <c r="A542" t="s">
        <v>600</v>
      </c>
      <c r="B542" s="1">
        <v>45614</v>
      </c>
      <c r="C542" t="s">
        <v>25</v>
      </c>
      <c r="D542" t="s">
        <v>46</v>
      </c>
      <c r="E542" t="s">
        <v>53</v>
      </c>
      <c r="F542">
        <v>5</v>
      </c>
      <c r="G542">
        <v>6943.58</v>
      </c>
      <c r="H542" s="5">
        <v>0.1</v>
      </c>
      <c r="I542" t="s">
        <v>16</v>
      </c>
      <c r="J542" t="s">
        <v>29</v>
      </c>
      <c r="K542" t="s">
        <v>33</v>
      </c>
      <c r="L542">
        <v>31246.11</v>
      </c>
      <c r="M542" s="2" t="str">
        <f t="shared" si="16"/>
        <v>Nov</v>
      </c>
      <c r="N542" s="2" t="str">
        <f t="shared" si="17"/>
        <v>high</v>
      </c>
      <c r="O542" s="2"/>
    </row>
    <row r="543" spans="1:15">
      <c r="A543" t="s">
        <v>601</v>
      </c>
      <c r="B543" s="1">
        <v>45575</v>
      </c>
      <c r="C543" t="s">
        <v>35</v>
      </c>
      <c r="D543" t="s">
        <v>65</v>
      </c>
      <c r="E543" t="s">
        <v>80</v>
      </c>
      <c r="F543">
        <v>3</v>
      </c>
      <c r="G543">
        <v>5717.56</v>
      </c>
      <c r="H543" s="5">
        <v>0.1</v>
      </c>
      <c r="I543" t="s">
        <v>28</v>
      </c>
      <c r="J543" t="s">
        <v>40</v>
      </c>
      <c r="K543" t="s">
        <v>33</v>
      </c>
      <c r="L543">
        <v>15437.41</v>
      </c>
      <c r="M543" s="2" t="str">
        <f t="shared" si="16"/>
        <v>Oct</v>
      </c>
      <c r="N543" s="2" t="str">
        <f t="shared" si="17"/>
        <v>medium</v>
      </c>
      <c r="O543" s="2"/>
    </row>
    <row r="544" spans="1:15">
      <c r="A544" t="s">
        <v>602</v>
      </c>
      <c r="B544" s="1">
        <v>45471</v>
      </c>
      <c r="C544" t="s">
        <v>35</v>
      </c>
      <c r="D544" t="s">
        <v>68</v>
      </c>
      <c r="E544" t="s">
        <v>15</v>
      </c>
      <c r="F544">
        <v>5</v>
      </c>
      <c r="G544">
        <v>1615.64</v>
      </c>
      <c r="H544" s="5">
        <v>0.2</v>
      </c>
      <c r="I544" t="s">
        <v>16</v>
      </c>
      <c r="J544" t="s">
        <v>49</v>
      </c>
      <c r="K544" t="s">
        <v>33</v>
      </c>
      <c r="L544">
        <v>6462.56</v>
      </c>
      <c r="M544" s="2" t="str">
        <f t="shared" si="16"/>
        <v>Jun</v>
      </c>
      <c r="N544" s="2" t="str">
        <f t="shared" si="17"/>
        <v>low</v>
      </c>
      <c r="O544" s="2"/>
    </row>
    <row r="545" spans="1:15">
      <c r="A545" t="s">
        <v>603</v>
      </c>
      <c r="B545" s="1">
        <v>45575</v>
      </c>
      <c r="C545" t="s">
        <v>20</v>
      </c>
      <c r="D545" t="s">
        <v>57</v>
      </c>
      <c r="E545" t="s">
        <v>53</v>
      </c>
      <c r="F545">
        <v>2</v>
      </c>
      <c r="G545">
        <v>390.83</v>
      </c>
      <c r="H545" s="5">
        <v>0.15</v>
      </c>
      <c r="I545" t="s">
        <v>28</v>
      </c>
      <c r="J545" t="s">
        <v>49</v>
      </c>
      <c r="K545" t="s">
        <v>33</v>
      </c>
      <c r="L545">
        <v>664.41</v>
      </c>
      <c r="M545" s="2" t="str">
        <f t="shared" si="16"/>
        <v>Oct</v>
      </c>
      <c r="N545" s="2" t="str">
        <f t="shared" si="17"/>
        <v>low</v>
      </c>
      <c r="O545" s="2"/>
    </row>
    <row r="546" spans="1:15">
      <c r="A546" t="s">
        <v>604</v>
      </c>
      <c r="B546" s="1">
        <v>45336</v>
      </c>
      <c r="C546" t="s">
        <v>20</v>
      </c>
      <c r="D546" t="s">
        <v>21</v>
      </c>
      <c r="E546" t="s">
        <v>80</v>
      </c>
      <c r="F546">
        <v>1</v>
      </c>
      <c r="G546">
        <v>5254.38</v>
      </c>
      <c r="H546" s="5">
        <v>0.05</v>
      </c>
      <c r="I546" t="s">
        <v>16</v>
      </c>
      <c r="J546" t="s">
        <v>40</v>
      </c>
      <c r="K546" t="s">
        <v>33</v>
      </c>
      <c r="L546">
        <v>4991.66</v>
      </c>
      <c r="M546" s="2" t="str">
        <f t="shared" si="16"/>
        <v>Feb</v>
      </c>
      <c r="N546" s="2" t="str">
        <f t="shared" si="17"/>
        <v>low</v>
      </c>
      <c r="O546" s="2"/>
    </row>
    <row r="547" spans="1:15">
      <c r="A547" t="s">
        <v>605</v>
      </c>
      <c r="B547" s="1">
        <v>45455</v>
      </c>
      <c r="C547" t="s">
        <v>38</v>
      </c>
      <c r="D547" t="s">
        <v>164</v>
      </c>
      <c r="E547" t="s">
        <v>27</v>
      </c>
      <c r="F547">
        <v>2</v>
      </c>
      <c r="G547">
        <v>1200.28</v>
      </c>
      <c r="H547" s="5">
        <v>0.05</v>
      </c>
      <c r="I547" t="s">
        <v>55</v>
      </c>
      <c r="J547" t="s">
        <v>49</v>
      </c>
      <c r="K547" t="s">
        <v>33</v>
      </c>
      <c r="L547">
        <v>2280.5300000000002</v>
      </c>
      <c r="M547" s="2" t="str">
        <f t="shared" si="16"/>
        <v>Jun</v>
      </c>
      <c r="N547" s="2" t="str">
        <f t="shared" si="17"/>
        <v>low</v>
      </c>
      <c r="O547" s="2"/>
    </row>
    <row r="548" spans="1:15">
      <c r="A548" t="s">
        <v>606</v>
      </c>
      <c r="B548" s="1">
        <v>45562</v>
      </c>
      <c r="C548" t="s">
        <v>38</v>
      </c>
      <c r="D548" t="s">
        <v>100</v>
      </c>
      <c r="E548" t="s">
        <v>53</v>
      </c>
      <c r="F548">
        <v>3</v>
      </c>
      <c r="G548">
        <v>4907.68</v>
      </c>
      <c r="H548" s="5">
        <v>0.25</v>
      </c>
      <c r="I548" t="s">
        <v>22</v>
      </c>
      <c r="J548" t="s">
        <v>49</v>
      </c>
      <c r="K548" t="s">
        <v>18</v>
      </c>
      <c r="L548">
        <v>11042.28</v>
      </c>
      <c r="M548" s="2" t="str">
        <f t="shared" si="16"/>
        <v>Sep</v>
      </c>
      <c r="N548" s="2" t="str">
        <f t="shared" si="17"/>
        <v>medium</v>
      </c>
      <c r="O548" s="2"/>
    </row>
    <row r="549" spans="1:15">
      <c r="A549" t="s">
        <v>607</v>
      </c>
      <c r="B549" s="1">
        <v>45369</v>
      </c>
      <c r="C549" t="s">
        <v>25</v>
      </c>
      <c r="D549" t="s">
        <v>46</v>
      </c>
      <c r="E549" t="s">
        <v>53</v>
      </c>
      <c r="F549">
        <v>3</v>
      </c>
      <c r="G549">
        <v>2677.94</v>
      </c>
      <c r="H549" s="5">
        <v>0.2</v>
      </c>
      <c r="I549" t="s">
        <v>16</v>
      </c>
      <c r="J549" t="s">
        <v>29</v>
      </c>
      <c r="K549" t="s">
        <v>33</v>
      </c>
      <c r="L549">
        <v>6427.06</v>
      </c>
      <c r="M549" s="2" t="str">
        <f t="shared" si="16"/>
        <v>Mar</v>
      </c>
      <c r="N549" s="2" t="str">
        <f t="shared" si="17"/>
        <v>low</v>
      </c>
      <c r="O549" s="2"/>
    </row>
    <row r="550" spans="1:15">
      <c r="A550" t="s">
        <v>608</v>
      </c>
      <c r="B550" s="1">
        <v>45646</v>
      </c>
      <c r="C550" t="s">
        <v>35</v>
      </c>
      <c r="D550" t="s">
        <v>63</v>
      </c>
      <c r="E550" t="s">
        <v>27</v>
      </c>
      <c r="F550">
        <v>1</v>
      </c>
      <c r="G550">
        <v>3066.74</v>
      </c>
      <c r="H550" s="5">
        <v>0.15</v>
      </c>
      <c r="I550" t="s">
        <v>22</v>
      </c>
      <c r="J550" t="s">
        <v>29</v>
      </c>
      <c r="K550" t="s">
        <v>33</v>
      </c>
      <c r="L550">
        <v>2606.73</v>
      </c>
      <c r="M550" s="2" t="str">
        <f t="shared" si="16"/>
        <v>Dec</v>
      </c>
      <c r="N550" s="2" t="str">
        <f t="shared" si="17"/>
        <v>low</v>
      </c>
      <c r="O550" s="2"/>
    </row>
    <row r="551" spans="1:15">
      <c r="A551" t="s">
        <v>609</v>
      </c>
      <c r="B551" s="1">
        <v>45453</v>
      </c>
      <c r="C551" t="s">
        <v>13</v>
      </c>
      <c r="D551" t="s">
        <v>70</v>
      </c>
      <c r="E551" t="s">
        <v>53</v>
      </c>
      <c r="F551">
        <v>1</v>
      </c>
      <c r="G551">
        <v>2922.95</v>
      </c>
      <c r="H551" s="5">
        <v>0.2</v>
      </c>
      <c r="I551" t="s">
        <v>22</v>
      </c>
      <c r="J551" t="s">
        <v>29</v>
      </c>
      <c r="K551" t="s">
        <v>33</v>
      </c>
      <c r="L551">
        <v>2338.36</v>
      </c>
      <c r="M551" s="2" t="str">
        <f t="shared" si="16"/>
        <v>Jun</v>
      </c>
      <c r="N551" s="2" t="str">
        <f t="shared" si="17"/>
        <v>low</v>
      </c>
      <c r="O551" s="2"/>
    </row>
    <row r="552" spans="1:15">
      <c r="A552" t="s">
        <v>610</v>
      </c>
      <c r="B552" s="1">
        <v>45647</v>
      </c>
      <c r="C552" t="s">
        <v>35</v>
      </c>
      <c r="D552" t="s">
        <v>97</v>
      </c>
      <c r="E552" t="s">
        <v>53</v>
      </c>
      <c r="F552">
        <v>2</v>
      </c>
      <c r="G552">
        <v>5306.5</v>
      </c>
      <c r="H552" s="5">
        <v>0.2</v>
      </c>
      <c r="I552" t="s">
        <v>16</v>
      </c>
      <c r="J552" t="s">
        <v>23</v>
      </c>
      <c r="K552" t="s">
        <v>33</v>
      </c>
      <c r="L552">
        <v>8490.4</v>
      </c>
      <c r="M552" s="2" t="str">
        <f t="shared" si="16"/>
        <v>Dec</v>
      </c>
      <c r="N552" s="2" t="str">
        <f t="shared" si="17"/>
        <v>low</v>
      </c>
      <c r="O552" s="2"/>
    </row>
    <row r="553" spans="1:15">
      <c r="A553" t="s">
        <v>611</v>
      </c>
      <c r="B553" s="1">
        <v>45360</v>
      </c>
      <c r="C553" t="s">
        <v>25</v>
      </c>
      <c r="D553" t="s">
        <v>94</v>
      </c>
      <c r="E553" t="s">
        <v>53</v>
      </c>
      <c r="F553">
        <v>2</v>
      </c>
      <c r="G553">
        <v>957.82</v>
      </c>
      <c r="H553" s="5">
        <v>0.05</v>
      </c>
      <c r="I553" t="s">
        <v>22</v>
      </c>
      <c r="J553" t="s">
        <v>23</v>
      </c>
      <c r="K553" t="s">
        <v>18</v>
      </c>
      <c r="L553">
        <f>(F553*G553)-(F553*G553)*H553</f>
        <v>1819.8580000000002</v>
      </c>
      <c r="M553" s="2" t="str">
        <f t="shared" si="16"/>
        <v>Mar</v>
      </c>
      <c r="N553" s="2" t="str">
        <f t="shared" si="17"/>
        <v>low</v>
      </c>
      <c r="O553" s="2"/>
    </row>
    <row r="554" spans="1:15">
      <c r="A554" t="s">
        <v>612</v>
      </c>
      <c r="B554" s="1">
        <v>45370</v>
      </c>
      <c r="C554" t="s">
        <v>20</v>
      </c>
      <c r="D554" t="s">
        <v>21</v>
      </c>
      <c r="E554" t="s">
        <v>1160</v>
      </c>
      <c r="F554">
        <v>4</v>
      </c>
      <c r="G554">
        <v>4320.37</v>
      </c>
      <c r="H554" s="5">
        <v>0.05</v>
      </c>
      <c r="I554" t="s">
        <v>16</v>
      </c>
      <c r="J554" t="s">
        <v>17</v>
      </c>
      <c r="K554" t="s">
        <v>33</v>
      </c>
      <c r="L554">
        <v>16417.41</v>
      </c>
      <c r="M554" s="2" t="str">
        <f t="shared" si="16"/>
        <v>Mar</v>
      </c>
      <c r="N554" s="2" t="str">
        <f t="shared" si="17"/>
        <v>medium</v>
      </c>
      <c r="O554" s="2"/>
    </row>
    <row r="555" spans="1:15">
      <c r="A555" t="s">
        <v>613</v>
      </c>
      <c r="B555" s="1">
        <v>45447</v>
      </c>
      <c r="C555" t="s">
        <v>35</v>
      </c>
      <c r="D555" t="s">
        <v>63</v>
      </c>
      <c r="E555" t="s">
        <v>80</v>
      </c>
      <c r="F555">
        <v>5</v>
      </c>
      <c r="G555">
        <v>5894.84</v>
      </c>
      <c r="H555" s="5">
        <v>0.25</v>
      </c>
      <c r="I555" t="s">
        <v>16</v>
      </c>
      <c r="J555" t="s">
        <v>49</v>
      </c>
      <c r="K555" t="s">
        <v>33</v>
      </c>
      <c r="L555">
        <v>22105.65</v>
      </c>
      <c r="M555" s="2" t="str">
        <f t="shared" si="16"/>
        <v>Jun</v>
      </c>
      <c r="N555" s="2" t="str">
        <f t="shared" si="17"/>
        <v>high</v>
      </c>
      <c r="O555" s="2"/>
    </row>
    <row r="556" spans="1:15">
      <c r="A556" t="s">
        <v>614</v>
      </c>
      <c r="B556" s="1">
        <v>45296</v>
      </c>
      <c r="C556" t="s">
        <v>35</v>
      </c>
      <c r="D556" t="s">
        <v>65</v>
      </c>
      <c r="E556" t="s">
        <v>47</v>
      </c>
      <c r="F556">
        <v>3</v>
      </c>
      <c r="G556">
        <v>3902.96</v>
      </c>
      <c r="H556" s="5">
        <v>0.2</v>
      </c>
      <c r="I556" t="s">
        <v>16</v>
      </c>
      <c r="J556" t="s">
        <v>17</v>
      </c>
      <c r="K556" t="s">
        <v>18</v>
      </c>
      <c r="L556">
        <v>9367.1</v>
      </c>
      <c r="M556" s="2" t="str">
        <f t="shared" si="16"/>
        <v>Jan</v>
      </c>
      <c r="N556" s="2" t="str">
        <f t="shared" si="17"/>
        <v>low</v>
      </c>
      <c r="O556" s="2"/>
    </row>
    <row r="557" spans="1:15">
      <c r="A557" t="s">
        <v>615</v>
      </c>
      <c r="B557" s="1">
        <v>45456</v>
      </c>
      <c r="C557" t="s">
        <v>35</v>
      </c>
      <c r="D557" t="s">
        <v>36</v>
      </c>
      <c r="E557" t="s">
        <v>15</v>
      </c>
      <c r="F557">
        <v>2</v>
      </c>
      <c r="G557">
        <v>2199.69</v>
      </c>
      <c r="H557" s="5">
        <v>0.25</v>
      </c>
      <c r="I557" t="s">
        <v>22</v>
      </c>
      <c r="J557" t="s">
        <v>17</v>
      </c>
      <c r="K557" t="s">
        <v>33</v>
      </c>
      <c r="L557">
        <v>3299.53</v>
      </c>
      <c r="M557" s="2" t="str">
        <f t="shared" si="16"/>
        <v>Jun</v>
      </c>
      <c r="N557" s="2" t="str">
        <f t="shared" si="17"/>
        <v>low</v>
      </c>
      <c r="O557" s="2"/>
    </row>
    <row r="558" spans="1:15">
      <c r="A558" t="s">
        <v>616</v>
      </c>
      <c r="B558" s="1">
        <v>45541</v>
      </c>
      <c r="C558" t="s">
        <v>25</v>
      </c>
      <c r="D558" t="s">
        <v>94</v>
      </c>
      <c r="E558" t="s">
        <v>80</v>
      </c>
      <c r="F558">
        <v>6</v>
      </c>
      <c r="G558">
        <v>1856.15</v>
      </c>
      <c r="H558" s="5">
        <v>0.2</v>
      </c>
      <c r="I558" t="s">
        <v>16</v>
      </c>
      <c r="J558" t="s">
        <v>23</v>
      </c>
      <c r="K558" t="s">
        <v>33</v>
      </c>
      <c r="L558">
        <v>8909.52</v>
      </c>
      <c r="M558" s="2" t="str">
        <f t="shared" si="16"/>
        <v>Sep</v>
      </c>
      <c r="N558" s="2" t="str">
        <f t="shared" si="17"/>
        <v>low</v>
      </c>
      <c r="O558" s="2"/>
    </row>
    <row r="559" spans="1:15">
      <c r="A559" t="s">
        <v>617</v>
      </c>
      <c r="B559" s="1">
        <v>45466</v>
      </c>
      <c r="C559" t="s">
        <v>20</v>
      </c>
      <c r="D559" t="s">
        <v>61</v>
      </c>
      <c r="E559" t="s">
        <v>1160</v>
      </c>
      <c r="F559">
        <v>1</v>
      </c>
      <c r="G559">
        <v>3300.3</v>
      </c>
      <c r="H559" s="5">
        <v>0.1</v>
      </c>
      <c r="I559" t="s">
        <v>16</v>
      </c>
      <c r="J559" t="s">
        <v>17</v>
      </c>
      <c r="K559" t="s">
        <v>33</v>
      </c>
      <c r="L559">
        <v>2970.27</v>
      </c>
      <c r="M559" s="2" t="str">
        <f t="shared" si="16"/>
        <v>Jun</v>
      </c>
      <c r="N559" s="2" t="str">
        <f t="shared" si="17"/>
        <v>low</v>
      </c>
      <c r="O559" s="2"/>
    </row>
    <row r="560" spans="1:15">
      <c r="A560" t="s">
        <v>618</v>
      </c>
      <c r="B560" s="1">
        <v>45524</v>
      </c>
      <c r="C560" t="s">
        <v>25</v>
      </c>
      <c r="D560" t="s">
        <v>26</v>
      </c>
      <c r="E560" t="s">
        <v>44</v>
      </c>
      <c r="F560">
        <v>4</v>
      </c>
      <c r="G560">
        <v>6876.95</v>
      </c>
      <c r="H560" s="5">
        <v>0.2</v>
      </c>
      <c r="I560" t="s">
        <v>16</v>
      </c>
      <c r="J560" t="s">
        <v>49</v>
      </c>
      <c r="K560" t="s">
        <v>18</v>
      </c>
      <c r="L560">
        <v>22006.240000000002</v>
      </c>
      <c r="M560" s="2" t="str">
        <f t="shared" si="16"/>
        <v>Aug</v>
      </c>
      <c r="N560" s="2" t="str">
        <f t="shared" si="17"/>
        <v>high</v>
      </c>
      <c r="O560" s="2"/>
    </row>
    <row r="561" spans="1:15">
      <c r="A561" t="s">
        <v>619</v>
      </c>
      <c r="B561" s="1">
        <v>45430</v>
      </c>
      <c r="C561" t="s">
        <v>38</v>
      </c>
      <c r="D561" t="s">
        <v>164</v>
      </c>
      <c r="E561" t="s">
        <v>1160</v>
      </c>
      <c r="F561">
        <v>3</v>
      </c>
      <c r="G561">
        <v>5940.31</v>
      </c>
      <c r="H561" s="5">
        <v>0</v>
      </c>
      <c r="I561" t="s">
        <v>16</v>
      </c>
      <c r="J561" t="s">
        <v>40</v>
      </c>
      <c r="K561" t="s">
        <v>33</v>
      </c>
      <c r="L561">
        <v>17820.93</v>
      </c>
      <c r="M561" s="2" t="str">
        <f t="shared" si="16"/>
        <v>May</v>
      </c>
      <c r="N561" s="2" t="str">
        <f t="shared" si="17"/>
        <v>medium</v>
      </c>
      <c r="O561" s="2"/>
    </row>
    <row r="562" spans="1:15">
      <c r="A562" t="s">
        <v>620</v>
      </c>
      <c r="B562" s="1">
        <v>45364</v>
      </c>
      <c r="C562" t="s">
        <v>13</v>
      </c>
      <c r="D562" t="s">
        <v>108</v>
      </c>
      <c r="E562" t="s">
        <v>27</v>
      </c>
      <c r="F562">
        <v>2</v>
      </c>
      <c r="G562">
        <v>6357.21</v>
      </c>
      <c r="H562" s="5">
        <v>0</v>
      </c>
      <c r="I562" t="s">
        <v>28</v>
      </c>
      <c r="J562" t="s">
        <v>29</v>
      </c>
      <c r="K562" t="s">
        <v>33</v>
      </c>
      <c r="L562">
        <v>12714.42</v>
      </c>
      <c r="M562" s="2" t="str">
        <f t="shared" si="16"/>
        <v>Mar</v>
      </c>
      <c r="N562" s="2" t="str">
        <f t="shared" si="17"/>
        <v>medium</v>
      </c>
      <c r="O562" s="2"/>
    </row>
    <row r="563" spans="1:15">
      <c r="A563" t="s">
        <v>621</v>
      </c>
      <c r="B563" s="1">
        <v>45483</v>
      </c>
      <c r="C563" t="s">
        <v>25</v>
      </c>
      <c r="D563" t="s">
        <v>31</v>
      </c>
      <c r="E563" t="s">
        <v>32</v>
      </c>
      <c r="F563">
        <v>2</v>
      </c>
      <c r="G563">
        <v>7990.18</v>
      </c>
      <c r="H563" s="5">
        <v>0.1</v>
      </c>
      <c r="I563" t="s">
        <v>16</v>
      </c>
      <c r="J563" t="s">
        <v>49</v>
      </c>
      <c r="K563" t="s">
        <v>33</v>
      </c>
      <c r="L563">
        <v>14382.32</v>
      </c>
      <c r="M563" s="2" t="str">
        <f t="shared" si="16"/>
        <v>Jul</v>
      </c>
      <c r="N563" s="2" t="str">
        <f t="shared" si="17"/>
        <v>medium</v>
      </c>
      <c r="O563" s="2"/>
    </row>
    <row r="564" spans="1:15">
      <c r="A564" t="s">
        <v>622</v>
      </c>
      <c r="B564" s="1">
        <v>45586</v>
      </c>
      <c r="C564" t="s">
        <v>35</v>
      </c>
      <c r="D564" t="s">
        <v>36</v>
      </c>
      <c r="E564" t="s">
        <v>15</v>
      </c>
      <c r="F564">
        <v>3</v>
      </c>
      <c r="G564">
        <v>7296.63</v>
      </c>
      <c r="H564" s="5">
        <v>0</v>
      </c>
      <c r="I564" t="s">
        <v>16</v>
      </c>
      <c r="J564" t="s">
        <v>49</v>
      </c>
      <c r="K564" t="s">
        <v>18</v>
      </c>
      <c r="L564">
        <v>21889.89</v>
      </c>
      <c r="M564" s="2" t="str">
        <f t="shared" si="16"/>
        <v>Oct</v>
      </c>
      <c r="N564" s="2" t="str">
        <f t="shared" si="17"/>
        <v>high</v>
      </c>
      <c r="O564" s="2"/>
    </row>
    <row r="565" spans="1:15">
      <c r="A565" t="s">
        <v>623</v>
      </c>
      <c r="B565" s="1">
        <v>45340</v>
      </c>
      <c r="C565" t="s">
        <v>20</v>
      </c>
      <c r="D565" t="s">
        <v>57</v>
      </c>
      <c r="E565" t="s">
        <v>44</v>
      </c>
      <c r="F565">
        <v>5</v>
      </c>
      <c r="G565">
        <v>7372.85</v>
      </c>
      <c r="H565" s="5">
        <v>0</v>
      </c>
      <c r="I565" t="s">
        <v>28</v>
      </c>
      <c r="J565" t="s">
        <v>17</v>
      </c>
      <c r="K565" t="s">
        <v>33</v>
      </c>
      <c r="L565">
        <v>36864.25</v>
      </c>
      <c r="M565" s="2" t="str">
        <f t="shared" si="16"/>
        <v>Feb</v>
      </c>
      <c r="N565" s="2" t="str">
        <f t="shared" si="17"/>
        <v>high</v>
      </c>
      <c r="O565" s="2"/>
    </row>
    <row r="566" spans="1:15">
      <c r="A566" t="s">
        <v>624</v>
      </c>
      <c r="B566" s="1">
        <v>45557</v>
      </c>
      <c r="C566" t="s">
        <v>20</v>
      </c>
      <c r="D566" t="s">
        <v>61</v>
      </c>
      <c r="E566" t="s">
        <v>27</v>
      </c>
      <c r="F566">
        <v>3</v>
      </c>
      <c r="G566">
        <v>7853.58</v>
      </c>
      <c r="H566" s="5">
        <v>0.25</v>
      </c>
      <c r="I566" t="s">
        <v>22</v>
      </c>
      <c r="J566" t="s">
        <v>23</v>
      </c>
      <c r="K566" t="s">
        <v>18</v>
      </c>
      <c r="L566">
        <v>17670.560000000001</v>
      </c>
      <c r="M566" s="2" t="str">
        <f t="shared" si="16"/>
        <v>Sep</v>
      </c>
      <c r="N566" s="2" t="str">
        <f t="shared" si="17"/>
        <v>medium</v>
      </c>
      <c r="O566" s="2"/>
    </row>
    <row r="567" spans="1:15">
      <c r="A567" t="s">
        <v>625</v>
      </c>
      <c r="B567" s="1">
        <v>45366</v>
      </c>
      <c r="C567" t="s">
        <v>35</v>
      </c>
      <c r="D567" t="s">
        <v>36</v>
      </c>
      <c r="E567" t="s">
        <v>32</v>
      </c>
      <c r="F567">
        <v>4</v>
      </c>
      <c r="G567">
        <v>2847.24</v>
      </c>
      <c r="H567" s="5">
        <v>0.2</v>
      </c>
      <c r="I567" t="s">
        <v>55</v>
      </c>
      <c r="J567" t="s">
        <v>49</v>
      </c>
      <c r="K567" t="s">
        <v>33</v>
      </c>
      <c r="L567">
        <v>9111.17</v>
      </c>
      <c r="M567" s="2" t="str">
        <f t="shared" si="16"/>
        <v>Mar</v>
      </c>
      <c r="N567" s="2" t="str">
        <f t="shared" si="17"/>
        <v>low</v>
      </c>
      <c r="O567" s="2"/>
    </row>
    <row r="568" spans="1:15">
      <c r="A568" t="s">
        <v>626</v>
      </c>
      <c r="B568" s="1">
        <v>45595</v>
      </c>
      <c r="C568" t="s">
        <v>20</v>
      </c>
      <c r="D568" t="s">
        <v>59</v>
      </c>
      <c r="E568" t="s">
        <v>44</v>
      </c>
      <c r="F568">
        <v>6</v>
      </c>
      <c r="G568">
        <v>7070.54</v>
      </c>
      <c r="H568" s="5">
        <v>0.05</v>
      </c>
      <c r="I568" t="s">
        <v>22</v>
      </c>
      <c r="J568" t="s">
        <v>40</v>
      </c>
      <c r="K568" t="s">
        <v>18</v>
      </c>
      <c r="L568">
        <v>40302.080000000002</v>
      </c>
      <c r="M568" s="2" t="str">
        <f t="shared" si="16"/>
        <v>Oct</v>
      </c>
      <c r="N568" s="2" t="str">
        <f t="shared" si="17"/>
        <v>high</v>
      </c>
      <c r="O568" s="2"/>
    </row>
    <row r="569" spans="1:15">
      <c r="A569" t="s">
        <v>627</v>
      </c>
      <c r="B569" s="1">
        <v>45415</v>
      </c>
      <c r="C569" t="s">
        <v>38</v>
      </c>
      <c r="D569" t="s">
        <v>100</v>
      </c>
      <c r="E569" t="s">
        <v>1160</v>
      </c>
      <c r="F569">
        <v>5</v>
      </c>
      <c r="G569">
        <v>981.07</v>
      </c>
      <c r="H569" s="5">
        <v>0.25</v>
      </c>
      <c r="I569" t="s">
        <v>16</v>
      </c>
      <c r="J569" t="s">
        <v>40</v>
      </c>
      <c r="K569" t="s">
        <v>33</v>
      </c>
      <c r="L569">
        <v>3679.01</v>
      </c>
      <c r="M569" s="2" t="str">
        <f t="shared" si="16"/>
        <v>May</v>
      </c>
      <c r="N569" s="2" t="str">
        <f t="shared" si="17"/>
        <v>low</v>
      </c>
      <c r="O569" s="2"/>
    </row>
    <row r="570" spans="1:15">
      <c r="A570" t="s">
        <v>628</v>
      </c>
      <c r="B570" s="1">
        <v>45514</v>
      </c>
      <c r="C570" t="s">
        <v>25</v>
      </c>
      <c r="D570" t="s">
        <v>31</v>
      </c>
      <c r="E570" t="s">
        <v>80</v>
      </c>
      <c r="F570">
        <v>3</v>
      </c>
      <c r="G570">
        <v>7959.99</v>
      </c>
      <c r="H570" s="5">
        <v>0.05</v>
      </c>
      <c r="I570" t="s">
        <v>55</v>
      </c>
      <c r="J570" t="s">
        <v>49</v>
      </c>
      <c r="K570" t="s">
        <v>18</v>
      </c>
      <c r="L570">
        <v>22685.97</v>
      </c>
      <c r="M570" s="2" t="str">
        <f t="shared" si="16"/>
        <v>Aug</v>
      </c>
      <c r="N570" s="2" t="str">
        <f t="shared" si="17"/>
        <v>high</v>
      </c>
      <c r="O570" s="2"/>
    </row>
    <row r="571" spans="1:15">
      <c r="A571" t="s">
        <v>629</v>
      </c>
      <c r="B571" s="1">
        <v>45345</v>
      </c>
      <c r="C571" t="s">
        <v>35</v>
      </c>
      <c r="D571" t="s">
        <v>65</v>
      </c>
      <c r="E571" t="s">
        <v>44</v>
      </c>
      <c r="F571">
        <v>1</v>
      </c>
      <c r="G571">
        <v>6007.98</v>
      </c>
      <c r="H571" s="5">
        <v>0.15</v>
      </c>
      <c r="I571" t="s">
        <v>16</v>
      </c>
      <c r="J571" t="s">
        <v>17</v>
      </c>
      <c r="K571" t="s">
        <v>33</v>
      </c>
      <c r="L571">
        <v>5106.78</v>
      </c>
      <c r="M571" s="2" t="str">
        <f t="shared" si="16"/>
        <v>Feb</v>
      </c>
      <c r="N571" s="2" t="str">
        <f t="shared" si="17"/>
        <v>low</v>
      </c>
      <c r="O571" s="2"/>
    </row>
    <row r="572" spans="1:15">
      <c r="A572" t="s">
        <v>630</v>
      </c>
      <c r="B572" s="1">
        <v>45387</v>
      </c>
      <c r="C572" t="s">
        <v>25</v>
      </c>
      <c r="D572" t="s">
        <v>87</v>
      </c>
      <c r="E572" t="s">
        <v>44</v>
      </c>
      <c r="F572">
        <v>4</v>
      </c>
      <c r="G572">
        <v>2409.41</v>
      </c>
      <c r="H572" s="5">
        <v>0</v>
      </c>
      <c r="I572" t="s">
        <v>28</v>
      </c>
      <c r="J572" t="s">
        <v>23</v>
      </c>
      <c r="K572" t="s">
        <v>33</v>
      </c>
      <c r="L572">
        <v>9637.64</v>
      </c>
      <c r="M572" s="2" t="str">
        <f t="shared" si="16"/>
        <v>Apr</v>
      </c>
      <c r="N572" s="2" t="str">
        <f t="shared" si="17"/>
        <v>low</v>
      </c>
      <c r="O572" s="2"/>
    </row>
    <row r="573" spans="1:15">
      <c r="A573" t="s">
        <v>631</v>
      </c>
      <c r="B573" s="1">
        <v>45515</v>
      </c>
      <c r="C573" t="s">
        <v>38</v>
      </c>
      <c r="D573" t="s">
        <v>39</v>
      </c>
      <c r="E573" t="s">
        <v>44</v>
      </c>
      <c r="F573">
        <v>5</v>
      </c>
      <c r="G573">
        <v>5269.68</v>
      </c>
      <c r="H573" s="5">
        <v>0.05</v>
      </c>
      <c r="I573" t="s">
        <v>16</v>
      </c>
      <c r="J573" t="s">
        <v>40</v>
      </c>
      <c r="K573" t="s">
        <v>33</v>
      </c>
      <c r="L573">
        <v>25030.98</v>
      </c>
      <c r="M573" s="2" t="str">
        <f t="shared" si="16"/>
        <v>Aug</v>
      </c>
      <c r="N573" s="2" t="str">
        <f t="shared" si="17"/>
        <v>high</v>
      </c>
      <c r="O573" s="2"/>
    </row>
    <row r="574" spans="1:15">
      <c r="A574" t="s">
        <v>632</v>
      </c>
      <c r="B574" s="1">
        <v>45292</v>
      </c>
      <c r="C574" t="s">
        <v>20</v>
      </c>
      <c r="D574" t="s">
        <v>78</v>
      </c>
      <c r="E574" t="s">
        <v>44</v>
      </c>
      <c r="F574">
        <v>4</v>
      </c>
      <c r="G574">
        <v>709.91</v>
      </c>
      <c r="H574" s="5">
        <v>0</v>
      </c>
      <c r="I574" t="s">
        <v>28</v>
      </c>
      <c r="J574" t="s">
        <v>23</v>
      </c>
      <c r="K574" t="s">
        <v>33</v>
      </c>
      <c r="L574">
        <v>2839.64</v>
      </c>
      <c r="M574" s="2" t="str">
        <f t="shared" si="16"/>
        <v>Jan</v>
      </c>
      <c r="N574" s="2" t="str">
        <f t="shared" si="17"/>
        <v>low</v>
      </c>
      <c r="O574" s="2"/>
    </row>
    <row r="575" spans="1:15">
      <c r="A575" t="s">
        <v>633</v>
      </c>
      <c r="B575" s="1">
        <v>45475</v>
      </c>
      <c r="C575" t="s">
        <v>38</v>
      </c>
      <c r="D575" t="s">
        <v>100</v>
      </c>
      <c r="E575" t="s">
        <v>1160</v>
      </c>
      <c r="F575">
        <v>6</v>
      </c>
      <c r="G575">
        <v>5016.6899999999996</v>
      </c>
      <c r="H575" s="5">
        <v>0.1</v>
      </c>
      <c r="I575" t="s">
        <v>16</v>
      </c>
      <c r="J575" t="s">
        <v>49</v>
      </c>
      <c r="K575" t="s">
        <v>18</v>
      </c>
      <c r="L575">
        <v>27090.13</v>
      </c>
      <c r="M575" s="2" t="str">
        <f t="shared" si="16"/>
        <v>Jul</v>
      </c>
      <c r="N575" s="2" t="str">
        <f t="shared" si="17"/>
        <v>high</v>
      </c>
      <c r="O575" s="2"/>
    </row>
    <row r="576" spans="1:15">
      <c r="A576" t="s">
        <v>634</v>
      </c>
      <c r="B576" s="1">
        <v>45604</v>
      </c>
      <c r="C576" t="s">
        <v>35</v>
      </c>
      <c r="D576" t="s">
        <v>97</v>
      </c>
      <c r="E576" t="s">
        <v>32</v>
      </c>
      <c r="F576">
        <v>6</v>
      </c>
      <c r="G576">
        <v>6499.15</v>
      </c>
      <c r="H576" s="5">
        <v>0</v>
      </c>
      <c r="I576" t="s">
        <v>16</v>
      </c>
      <c r="J576" t="s">
        <v>17</v>
      </c>
      <c r="K576" t="s">
        <v>33</v>
      </c>
      <c r="L576">
        <v>38994.9</v>
      </c>
      <c r="M576" s="2" t="str">
        <f t="shared" si="16"/>
        <v>Nov</v>
      </c>
      <c r="N576" s="2" t="str">
        <f t="shared" si="17"/>
        <v>high</v>
      </c>
      <c r="O576" s="2"/>
    </row>
    <row r="577" spans="1:15">
      <c r="A577" t="s">
        <v>635</v>
      </c>
      <c r="B577" s="1">
        <v>45364</v>
      </c>
      <c r="C577" t="s">
        <v>35</v>
      </c>
      <c r="D577" t="s">
        <v>36</v>
      </c>
      <c r="E577" t="s">
        <v>44</v>
      </c>
      <c r="F577">
        <v>5</v>
      </c>
      <c r="G577">
        <v>426.78</v>
      </c>
      <c r="H577" s="5">
        <v>0.25</v>
      </c>
      <c r="I577" t="s">
        <v>16</v>
      </c>
      <c r="J577" t="s">
        <v>29</v>
      </c>
      <c r="K577" t="s">
        <v>33</v>
      </c>
      <c r="L577">
        <v>1600.42</v>
      </c>
      <c r="M577" s="2" t="str">
        <f t="shared" si="16"/>
        <v>Mar</v>
      </c>
      <c r="N577" s="2" t="str">
        <f t="shared" si="17"/>
        <v>low</v>
      </c>
      <c r="O577" s="2"/>
    </row>
    <row r="578" spans="1:15">
      <c r="A578" t="s">
        <v>636</v>
      </c>
      <c r="B578" s="1">
        <v>45329</v>
      </c>
      <c r="C578" t="s">
        <v>13</v>
      </c>
      <c r="D578" t="s">
        <v>76</v>
      </c>
      <c r="E578" t="s">
        <v>53</v>
      </c>
      <c r="F578">
        <v>4</v>
      </c>
      <c r="G578">
        <v>6545.75</v>
      </c>
      <c r="H578" s="5">
        <v>0</v>
      </c>
      <c r="I578" t="s">
        <v>28</v>
      </c>
      <c r="J578" t="s">
        <v>40</v>
      </c>
      <c r="K578" t="s">
        <v>18</v>
      </c>
      <c r="L578">
        <v>26183</v>
      </c>
      <c r="M578" s="2" t="str">
        <f t="shared" ref="M578:M641" si="18">TEXT(B578,"mmm")</f>
        <v>Feb</v>
      </c>
      <c r="N578" s="2" t="str">
        <f t="shared" ref="N578:N641" si="19">IF(L578&gt;20000,"high",IF(L578&gt;10000,"medium","low"))</f>
        <v>high</v>
      </c>
      <c r="O578" s="2"/>
    </row>
    <row r="579" spans="1:15">
      <c r="A579" t="s">
        <v>637</v>
      </c>
      <c r="B579" s="1">
        <v>45339</v>
      </c>
      <c r="C579" t="s">
        <v>13</v>
      </c>
      <c r="D579" t="s">
        <v>76</v>
      </c>
      <c r="E579" t="s">
        <v>15</v>
      </c>
      <c r="F579">
        <v>5</v>
      </c>
      <c r="G579">
        <v>6659.3</v>
      </c>
      <c r="H579" s="5">
        <v>0.1</v>
      </c>
      <c r="I579" t="s">
        <v>55</v>
      </c>
      <c r="J579" t="s">
        <v>49</v>
      </c>
      <c r="K579" t="s">
        <v>33</v>
      </c>
      <c r="L579">
        <f>(F579*G579)-(F579*G579)*H579</f>
        <v>29966.85</v>
      </c>
      <c r="M579" s="2" t="str">
        <f t="shared" si="18"/>
        <v>Feb</v>
      </c>
      <c r="N579" s="2" t="str">
        <f t="shared" si="19"/>
        <v>high</v>
      </c>
      <c r="O579" s="2"/>
    </row>
    <row r="580" spans="1:15">
      <c r="A580" t="s">
        <v>638</v>
      </c>
      <c r="B580" s="1">
        <v>45563</v>
      </c>
      <c r="C580" t="s">
        <v>25</v>
      </c>
      <c r="D580" t="s">
        <v>94</v>
      </c>
      <c r="E580" t="s">
        <v>47</v>
      </c>
      <c r="F580">
        <v>6</v>
      </c>
      <c r="G580">
        <v>7427.63</v>
      </c>
      <c r="H580" s="5">
        <v>0</v>
      </c>
      <c r="I580" t="s">
        <v>16</v>
      </c>
      <c r="J580" t="s">
        <v>17</v>
      </c>
      <c r="K580" t="s">
        <v>18</v>
      </c>
      <c r="L580">
        <v>44565.78</v>
      </c>
      <c r="M580" s="2" t="str">
        <f t="shared" si="18"/>
        <v>Sep</v>
      </c>
      <c r="N580" s="2" t="str">
        <f t="shared" si="19"/>
        <v>high</v>
      </c>
      <c r="O580" s="2"/>
    </row>
    <row r="581" spans="1:15">
      <c r="A581" t="s">
        <v>639</v>
      </c>
      <c r="B581" s="1">
        <v>45548</v>
      </c>
      <c r="C581" t="s">
        <v>13</v>
      </c>
      <c r="D581" t="s">
        <v>74</v>
      </c>
      <c r="E581" t="s">
        <v>47</v>
      </c>
      <c r="F581">
        <v>4</v>
      </c>
      <c r="G581">
        <v>1713.64</v>
      </c>
      <c r="H581" s="5">
        <v>0.1</v>
      </c>
      <c r="I581" t="s">
        <v>28</v>
      </c>
      <c r="J581" t="s">
        <v>17</v>
      </c>
      <c r="K581" t="s">
        <v>33</v>
      </c>
      <c r="L581">
        <v>6169.1</v>
      </c>
      <c r="M581" s="2" t="str">
        <f t="shared" si="18"/>
        <v>Sep</v>
      </c>
      <c r="N581" s="2" t="str">
        <f t="shared" si="19"/>
        <v>low</v>
      </c>
      <c r="O581" s="2"/>
    </row>
    <row r="582" spans="1:15">
      <c r="A582" t="s">
        <v>640</v>
      </c>
      <c r="B582" s="1">
        <v>45490</v>
      </c>
      <c r="C582" t="s">
        <v>13</v>
      </c>
      <c r="D582" t="s">
        <v>76</v>
      </c>
      <c r="E582" t="s">
        <v>80</v>
      </c>
      <c r="F582">
        <v>5</v>
      </c>
      <c r="G582">
        <v>1952.64</v>
      </c>
      <c r="H582" s="5">
        <v>0.2</v>
      </c>
      <c r="I582" t="s">
        <v>16</v>
      </c>
      <c r="J582" t="s">
        <v>40</v>
      </c>
      <c r="K582" t="s">
        <v>18</v>
      </c>
      <c r="L582">
        <v>7810.56</v>
      </c>
      <c r="M582" s="2" t="str">
        <f t="shared" si="18"/>
        <v>Jul</v>
      </c>
      <c r="N582" s="2" t="str">
        <f t="shared" si="19"/>
        <v>low</v>
      </c>
      <c r="O582" s="2"/>
    </row>
    <row r="583" spans="1:15">
      <c r="A583" t="s">
        <v>641</v>
      </c>
      <c r="B583" s="1">
        <v>45609</v>
      </c>
      <c r="C583" t="s">
        <v>20</v>
      </c>
      <c r="D583" t="s">
        <v>21</v>
      </c>
      <c r="E583" t="s">
        <v>47</v>
      </c>
      <c r="F583">
        <v>5</v>
      </c>
      <c r="G583">
        <v>1935.34</v>
      </c>
      <c r="H583" s="5">
        <v>0.2</v>
      </c>
      <c r="I583" t="s">
        <v>55</v>
      </c>
      <c r="J583" t="s">
        <v>17</v>
      </c>
      <c r="K583" t="s">
        <v>33</v>
      </c>
      <c r="L583">
        <v>7741.36</v>
      </c>
      <c r="M583" s="2" t="str">
        <f t="shared" si="18"/>
        <v>Nov</v>
      </c>
      <c r="N583" s="2" t="str">
        <f t="shared" si="19"/>
        <v>low</v>
      </c>
      <c r="O583" s="2"/>
    </row>
    <row r="584" spans="1:15">
      <c r="A584" t="s">
        <v>642</v>
      </c>
      <c r="B584" s="1">
        <v>45322</v>
      </c>
      <c r="C584" t="s">
        <v>38</v>
      </c>
      <c r="D584" t="s">
        <v>100</v>
      </c>
      <c r="E584" t="s">
        <v>44</v>
      </c>
      <c r="F584">
        <v>3</v>
      </c>
      <c r="G584">
        <v>1860.9</v>
      </c>
      <c r="H584" s="5">
        <v>0.1</v>
      </c>
      <c r="I584" t="s">
        <v>55</v>
      </c>
      <c r="J584" t="s">
        <v>49</v>
      </c>
      <c r="K584" t="s">
        <v>33</v>
      </c>
      <c r="L584">
        <v>5024.43</v>
      </c>
      <c r="M584" s="2" t="str">
        <f t="shared" si="18"/>
        <v>Jan</v>
      </c>
      <c r="N584" s="2" t="str">
        <f t="shared" si="19"/>
        <v>low</v>
      </c>
      <c r="O584" s="2"/>
    </row>
    <row r="585" spans="1:15">
      <c r="A585" t="s">
        <v>643</v>
      </c>
      <c r="B585" s="1">
        <v>45329</v>
      </c>
      <c r="C585" t="s">
        <v>35</v>
      </c>
      <c r="D585" t="s">
        <v>36</v>
      </c>
      <c r="E585" t="s">
        <v>47</v>
      </c>
      <c r="F585">
        <v>1</v>
      </c>
      <c r="G585">
        <v>7941.69</v>
      </c>
      <c r="H585" s="5">
        <v>0.05</v>
      </c>
      <c r="I585" t="s">
        <v>16</v>
      </c>
      <c r="J585" t="s">
        <v>23</v>
      </c>
      <c r="K585" t="s">
        <v>33</v>
      </c>
      <c r="L585">
        <v>7544.61</v>
      </c>
      <c r="M585" s="2" t="str">
        <f t="shared" si="18"/>
        <v>Feb</v>
      </c>
      <c r="N585" s="2" t="str">
        <f t="shared" si="19"/>
        <v>low</v>
      </c>
      <c r="O585" s="2"/>
    </row>
    <row r="586" spans="1:15">
      <c r="A586" t="s">
        <v>644</v>
      </c>
      <c r="B586" s="1">
        <v>45458</v>
      </c>
      <c r="C586" t="s">
        <v>35</v>
      </c>
      <c r="D586" t="s">
        <v>97</v>
      </c>
      <c r="E586" t="s">
        <v>1160</v>
      </c>
      <c r="F586">
        <v>2</v>
      </c>
      <c r="G586">
        <v>3403.76</v>
      </c>
      <c r="H586" s="5">
        <v>0.15</v>
      </c>
      <c r="I586" t="s">
        <v>16</v>
      </c>
      <c r="J586" t="s">
        <v>17</v>
      </c>
      <c r="K586" t="s">
        <v>18</v>
      </c>
      <c r="L586">
        <v>5786.39</v>
      </c>
      <c r="M586" s="2" t="str">
        <f t="shared" si="18"/>
        <v>Jun</v>
      </c>
      <c r="N586" s="2" t="str">
        <f t="shared" si="19"/>
        <v>low</v>
      </c>
      <c r="O586" s="2"/>
    </row>
    <row r="587" spans="1:15">
      <c r="A587" t="s">
        <v>645</v>
      </c>
      <c r="B587" s="1">
        <v>45526</v>
      </c>
      <c r="C587" t="s">
        <v>20</v>
      </c>
      <c r="D587" t="s">
        <v>21</v>
      </c>
      <c r="E587" t="s">
        <v>44</v>
      </c>
      <c r="F587">
        <v>6</v>
      </c>
      <c r="G587">
        <v>1761.82</v>
      </c>
      <c r="H587" s="5">
        <v>0.25</v>
      </c>
      <c r="I587" t="s">
        <v>16</v>
      </c>
      <c r="J587" t="s">
        <v>29</v>
      </c>
      <c r="K587" t="s">
        <v>33</v>
      </c>
      <c r="L587">
        <v>7928.19</v>
      </c>
      <c r="M587" s="2" t="str">
        <f t="shared" si="18"/>
        <v>Aug</v>
      </c>
      <c r="N587" s="2" t="str">
        <f t="shared" si="19"/>
        <v>low</v>
      </c>
      <c r="O587" s="2"/>
    </row>
    <row r="588" spans="1:15">
      <c r="A588" t="s">
        <v>646</v>
      </c>
      <c r="B588" s="1">
        <v>45613</v>
      </c>
      <c r="C588" t="s">
        <v>25</v>
      </c>
      <c r="D588" t="s">
        <v>94</v>
      </c>
      <c r="E588" t="s">
        <v>1160</v>
      </c>
      <c r="F588">
        <v>5</v>
      </c>
      <c r="G588">
        <v>5019.0600000000004</v>
      </c>
      <c r="H588" s="5">
        <v>0.2</v>
      </c>
      <c r="I588" t="s">
        <v>28</v>
      </c>
      <c r="J588" t="s">
        <v>29</v>
      </c>
      <c r="K588" t="s">
        <v>18</v>
      </c>
      <c r="L588">
        <v>20076.240000000002</v>
      </c>
      <c r="M588" s="2" t="str">
        <f t="shared" si="18"/>
        <v>Nov</v>
      </c>
      <c r="N588" s="2" t="str">
        <f t="shared" si="19"/>
        <v>high</v>
      </c>
      <c r="O588" s="2"/>
    </row>
    <row r="589" spans="1:15">
      <c r="A589" t="s">
        <v>647</v>
      </c>
      <c r="B589" s="1">
        <v>45469</v>
      </c>
      <c r="C589" t="s">
        <v>35</v>
      </c>
      <c r="D589" t="s">
        <v>63</v>
      </c>
      <c r="E589" t="s">
        <v>44</v>
      </c>
      <c r="F589">
        <v>1</v>
      </c>
      <c r="G589">
        <v>1722.4</v>
      </c>
      <c r="H589" s="5">
        <v>0.2</v>
      </c>
      <c r="I589" t="s">
        <v>16</v>
      </c>
      <c r="J589" t="s">
        <v>23</v>
      </c>
      <c r="K589" t="s">
        <v>33</v>
      </c>
      <c r="L589">
        <v>1377.92</v>
      </c>
      <c r="M589" s="2" t="str">
        <f t="shared" si="18"/>
        <v>Jun</v>
      </c>
      <c r="N589" s="2" t="str">
        <f t="shared" si="19"/>
        <v>low</v>
      </c>
      <c r="O589" s="2"/>
    </row>
    <row r="590" spans="1:15">
      <c r="A590" t="s">
        <v>648</v>
      </c>
      <c r="B590" s="1">
        <v>45509</v>
      </c>
      <c r="C590" t="s">
        <v>38</v>
      </c>
      <c r="D590" t="s">
        <v>39</v>
      </c>
      <c r="E590" t="s">
        <v>53</v>
      </c>
      <c r="F590">
        <v>5</v>
      </c>
      <c r="G590">
        <v>1596.83</v>
      </c>
      <c r="H590" s="5">
        <v>0.05</v>
      </c>
      <c r="I590" t="s">
        <v>16</v>
      </c>
      <c r="J590" t="s">
        <v>23</v>
      </c>
      <c r="K590" t="s">
        <v>33</v>
      </c>
      <c r="L590">
        <v>7584.94</v>
      </c>
      <c r="M590" s="2" t="str">
        <f t="shared" si="18"/>
        <v>Aug</v>
      </c>
      <c r="N590" s="2" t="str">
        <f t="shared" si="19"/>
        <v>low</v>
      </c>
      <c r="O590" s="2"/>
    </row>
    <row r="591" spans="1:15">
      <c r="A591" t="s">
        <v>649</v>
      </c>
      <c r="B591" s="1">
        <v>45415</v>
      </c>
      <c r="C591" t="s">
        <v>25</v>
      </c>
      <c r="D591" t="s">
        <v>26</v>
      </c>
      <c r="E591" t="s">
        <v>1160</v>
      </c>
      <c r="F591">
        <v>2</v>
      </c>
      <c r="G591">
        <v>1303.6099999999999</v>
      </c>
      <c r="H591" s="5">
        <v>0</v>
      </c>
      <c r="I591" t="s">
        <v>55</v>
      </c>
      <c r="J591" t="s">
        <v>23</v>
      </c>
      <c r="K591" t="s">
        <v>18</v>
      </c>
      <c r="L591">
        <v>2607.2199999999998</v>
      </c>
      <c r="M591" s="2" t="str">
        <f t="shared" si="18"/>
        <v>May</v>
      </c>
      <c r="N591" s="2" t="str">
        <f t="shared" si="19"/>
        <v>low</v>
      </c>
      <c r="O591" s="2"/>
    </row>
    <row r="592" spans="1:15">
      <c r="A592" t="s">
        <v>650</v>
      </c>
      <c r="B592" s="1">
        <v>45305</v>
      </c>
      <c r="C592" t="s">
        <v>25</v>
      </c>
      <c r="D592" t="s">
        <v>94</v>
      </c>
      <c r="E592" t="s">
        <v>32</v>
      </c>
      <c r="F592">
        <v>6</v>
      </c>
      <c r="G592">
        <v>887.53</v>
      </c>
      <c r="H592" s="5">
        <v>0</v>
      </c>
      <c r="I592" t="s">
        <v>16</v>
      </c>
      <c r="J592" t="s">
        <v>29</v>
      </c>
      <c r="K592" t="s">
        <v>33</v>
      </c>
      <c r="L592">
        <v>5325.18</v>
      </c>
      <c r="M592" s="2" t="str">
        <f t="shared" si="18"/>
        <v>Jan</v>
      </c>
      <c r="N592" s="2" t="str">
        <f t="shared" si="19"/>
        <v>low</v>
      </c>
      <c r="O592" s="2"/>
    </row>
    <row r="593" spans="1:15">
      <c r="A593" t="s">
        <v>651</v>
      </c>
      <c r="B593" s="1">
        <v>45578</v>
      </c>
      <c r="C593" t="s">
        <v>38</v>
      </c>
      <c r="D593" t="s">
        <v>51</v>
      </c>
      <c r="E593" t="s">
        <v>15</v>
      </c>
      <c r="F593">
        <v>5</v>
      </c>
      <c r="G593">
        <v>7980.13</v>
      </c>
      <c r="H593" s="5">
        <v>0.05</v>
      </c>
      <c r="I593" t="s">
        <v>22</v>
      </c>
      <c r="J593" t="s">
        <v>29</v>
      </c>
      <c r="K593" t="s">
        <v>33</v>
      </c>
      <c r="L593">
        <v>37905.620000000003</v>
      </c>
      <c r="M593" s="2" t="str">
        <f t="shared" si="18"/>
        <v>Oct</v>
      </c>
      <c r="N593" s="2" t="str">
        <f t="shared" si="19"/>
        <v>high</v>
      </c>
      <c r="O593" s="2"/>
    </row>
    <row r="594" spans="1:15">
      <c r="A594" t="s">
        <v>652</v>
      </c>
      <c r="B594" s="1">
        <v>45517</v>
      </c>
      <c r="C594" t="s">
        <v>20</v>
      </c>
      <c r="D594" t="s">
        <v>61</v>
      </c>
      <c r="E594" t="s">
        <v>15</v>
      </c>
      <c r="F594">
        <v>2</v>
      </c>
      <c r="G594">
        <v>3530.93</v>
      </c>
      <c r="H594" s="5">
        <v>0.25</v>
      </c>
      <c r="I594" t="s">
        <v>16</v>
      </c>
      <c r="J594" t="s">
        <v>29</v>
      </c>
      <c r="K594" t="s">
        <v>33</v>
      </c>
      <c r="L594">
        <v>5296.39</v>
      </c>
      <c r="M594" s="2" t="str">
        <f t="shared" si="18"/>
        <v>Aug</v>
      </c>
      <c r="N594" s="2" t="str">
        <f t="shared" si="19"/>
        <v>low</v>
      </c>
      <c r="O594" s="2"/>
    </row>
    <row r="595" spans="1:15">
      <c r="A595" t="s">
        <v>653</v>
      </c>
      <c r="B595" s="1">
        <v>45648</v>
      </c>
      <c r="C595" t="s">
        <v>38</v>
      </c>
      <c r="D595" t="s">
        <v>100</v>
      </c>
      <c r="E595" t="s">
        <v>44</v>
      </c>
      <c r="F595">
        <v>1</v>
      </c>
      <c r="G595">
        <v>3659.39</v>
      </c>
      <c r="H595" s="5">
        <v>0.15</v>
      </c>
      <c r="I595" t="s">
        <v>28</v>
      </c>
      <c r="J595" t="s">
        <v>40</v>
      </c>
      <c r="K595" t="s">
        <v>33</v>
      </c>
      <c r="L595">
        <v>3110.48</v>
      </c>
      <c r="M595" s="2" t="str">
        <f t="shared" si="18"/>
        <v>Dec</v>
      </c>
      <c r="N595" s="2" t="str">
        <f t="shared" si="19"/>
        <v>low</v>
      </c>
      <c r="O595" s="2"/>
    </row>
    <row r="596" spans="1:15">
      <c r="A596" t="s">
        <v>654</v>
      </c>
      <c r="B596" s="1">
        <v>45379</v>
      </c>
      <c r="C596" t="s">
        <v>38</v>
      </c>
      <c r="D596" t="s">
        <v>42</v>
      </c>
      <c r="E596" t="s">
        <v>53</v>
      </c>
      <c r="F596">
        <v>4</v>
      </c>
      <c r="G596">
        <v>3635.2</v>
      </c>
      <c r="H596" s="5">
        <v>0.15</v>
      </c>
      <c r="I596" t="s">
        <v>55</v>
      </c>
      <c r="J596" t="s">
        <v>40</v>
      </c>
      <c r="K596" t="s">
        <v>18</v>
      </c>
      <c r="L596">
        <v>12359.68</v>
      </c>
      <c r="M596" s="2" t="str">
        <f t="shared" si="18"/>
        <v>Mar</v>
      </c>
      <c r="N596" s="2" t="str">
        <f t="shared" si="19"/>
        <v>medium</v>
      </c>
      <c r="O596" s="2"/>
    </row>
    <row r="597" spans="1:15">
      <c r="A597" t="s">
        <v>655</v>
      </c>
      <c r="B597" s="1">
        <v>45472</v>
      </c>
      <c r="C597" t="s">
        <v>13</v>
      </c>
      <c r="D597" t="s">
        <v>108</v>
      </c>
      <c r="E597" t="s">
        <v>47</v>
      </c>
      <c r="F597">
        <v>3</v>
      </c>
      <c r="G597">
        <v>2667.75</v>
      </c>
      <c r="H597" s="5">
        <v>0.2</v>
      </c>
      <c r="I597" t="s">
        <v>55</v>
      </c>
      <c r="J597" t="s">
        <v>29</v>
      </c>
      <c r="K597" t="s">
        <v>33</v>
      </c>
      <c r="L597">
        <v>6402.6</v>
      </c>
      <c r="M597" s="2" t="str">
        <f t="shared" si="18"/>
        <v>Jun</v>
      </c>
      <c r="N597" s="2" t="str">
        <f t="shared" si="19"/>
        <v>low</v>
      </c>
      <c r="O597" s="2"/>
    </row>
    <row r="598" spans="1:15">
      <c r="A598" t="s">
        <v>656</v>
      </c>
      <c r="B598" s="1">
        <v>45358</v>
      </c>
      <c r="C598" t="s">
        <v>38</v>
      </c>
      <c r="D598" t="s">
        <v>100</v>
      </c>
      <c r="E598" t="s">
        <v>15</v>
      </c>
      <c r="F598">
        <v>5</v>
      </c>
      <c r="G598">
        <v>3597.88</v>
      </c>
      <c r="H598" s="5">
        <v>0</v>
      </c>
      <c r="I598" t="s">
        <v>22</v>
      </c>
      <c r="J598" t="s">
        <v>23</v>
      </c>
      <c r="K598" t="s">
        <v>18</v>
      </c>
      <c r="L598">
        <v>17989.400000000001</v>
      </c>
      <c r="M598" s="2" t="str">
        <f t="shared" si="18"/>
        <v>Mar</v>
      </c>
      <c r="N598" s="2" t="str">
        <f t="shared" si="19"/>
        <v>medium</v>
      </c>
      <c r="O598" s="2"/>
    </row>
    <row r="599" spans="1:15">
      <c r="A599" t="s">
        <v>657</v>
      </c>
      <c r="B599" s="1">
        <v>45621</v>
      </c>
      <c r="C599" t="s">
        <v>13</v>
      </c>
      <c r="D599" t="s">
        <v>108</v>
      </c>
      <c r="E599" t="s">
        <v>15</v>
      </c>
      <c r="F599">
        <v>4</v>
      </c>
      <c r="G599">
        <v>2376.52</v>
      </c>
      <c r="H599" s="5">
        <v>0.15</v>
      </c>
      <c r="I599" t="s">
        <v>16</v>
      </c>
      <c r="J599" t="s">
        <v>17</v>
      </c>
      <c r="K599" t="s">
        <v>18</v>
      </c>
      <c r="L599">
        <v>8080.17</v>
      </c>
      <c r="M599" s="2" t="str">
        <f t="shared" si="18"/>
        <v>Nov</v>
      </c>
      <c r="N599" s="2" t="str">
        <f t="shared" si="19"/>
        <v>low</v>
      </c>
      <c r="O599" s="2"/>
    </row>
    <row r="600" spans="1:15">
      <c r="A600" t="s">
        <v>658</v>
      </c>
      <c r="B600" s="1">
        <v>45504</v>
      </c>
      <c r="C600" t="s">
        <v>20</v>
      </c>
      <c r="D600" t="s">
        <v>78</v>
      </c>
      <c r="E600" t="s">
        <v>53</v>
      </c>
      <c r="F600">
        <v>5</v>
      </c>
      <c r="G600">
        <v>6297.02</v>
      </c>
      <c r="H600" s="5">
        <v>0.1</v>
      </c>
      <c r="I600" t="s">
        <v>16</v>
      </c>
      <c r="J600" t="s">
        <v>17</v>
      </c>
      <c r="K600" t="s">
        <v>18</v>
      </c>
      <c r="L600">
        <v>28336.59</v>
      </c>
      <c r="M600" s="2" t="str">
        <f t="shared" si="18"/>
        <v>Jul</v>
      </c>
      <c r="N600" s="2" t="str">
        <f t="shared" si="19"/>
        <v>high</v>
      </c>
      <c r="O600" s="2"/>
    </row>
    <row r="601" spans="1:15">
      <c r="A601" t="s">
        <v>659</v>
      </c>
      <c r="B601" s="1">
        <v>45369</v>
      </c>
      <c r="C601" t="s">
        <v>38</v>
      </c>
      <c r="D601" t="s">
        <v>100</v>
      </c>
      <c r="E601" t="s">
        <v>27</v>
      </c>
      <c r="F601">
        <v>4</v>
      </c>
      <c r="G601">
        <v>1142.1199999999999</v>
      </c>
      <c r="H601" s="5">
        <v>0.05</v>
      </c>
      <c r="I601" t="s">
        <v>22</v>
      </c>
      <c r="J601" t="s">
        <v>17</v>
      </c>
      <c r="K601" t="s">
        <v>33</v>
      </c>
      <c r="L601">
        <v>4340.0600000000004</v>
      </c>
      <c r="M601" s="2" t="str">
        <f t="shared" si="18"/>
        <v>Mar</v>
      </c>
      <c r="N601" s="2" t="str">
        <f t="shared" si="19"/>
        <v>low</v>
      </c>
      <c r="O601" s="2"/>
    </row>
    <row r="602" spans="1:15">
      <c r="A602" t="s">
        <v>660</v>
      </c>
      <c r="B602" s="1">
        <v>45495</v>
      </c>
      <c r="C602" t="s">
        <v>38</v>
      </c>
      <c r="D602" t="s">
        <v>42</v>
      </c>
      <c r="E602" t="s">
        <v>53</v>
      </c>
      <c r="F602">
        <v>3</v>
      </c>
      <c r="G602">
        <v>5822.54</v>
      </c>
      <c r="H602" s="5">
        <v>0.1</v>
      </c>
      <c r="I602" t="s">
        <v>28</v>
      </c>
      <c r="J602" t="s">
        <v>40</v>
      </c>
      <c r="K602" t="s">
        <v>33</v>
      </c>
      <c r="L602">
        <v>15720.86</v>
      </c>
      <c r="M602" s="2" t="str">
        <f t="shared" si="18"/>
        <v>Jul</v>
      </c>
      <c r="N602" s="2" t="str">
        <f t="shared" si="19"/>
        <v>medium</v>
      </c>
      <c r="O602" s="2"/>
    </row>
    <row r="603" spans="1:15">
      <c r="A603" t="s">
        <v>661</v>
      </c>
      <c r="B603" s="1">
        <v>45607</v>
      </c>
      <c r="C603" t="s">
        <v>20</v>
      </c>
      <c r="D603" t="s">
        <v>61</v>
      </c>
      <c r="E603" t="s">
        <v>47</v>
      </c>
      <c r="F603">
        <v>5</v>
      </c>
      <c r="G603">
        <v>7329.17</v>
      </c>
      <c r="H603" s="5">
        <v>0.25</v>
      </c>
      <c r="I603" t="s">
        <v>16</v>
      </c>
      <c r="J603" t="s">
        <v>29</v>
      </c>
      <c r="K603" t="s">
        <v>33</v>
      </c>
      <c r="L603">
        <v>27484.39</v>
      </c>
      <c r="M603" s="2" t="str">
        <f t="shared" si="18"/>
        <v>Nov</v>
      </c>
      <c r="N603" s="2" t="str">
        <f t="shared" si="19"/>
        <v>high</v>
      </c>
      <c r="O603" s="2"/>
    </row>
    <row r="604" spans="1:15">
      <c r="A604" t="s">
        <v>662</v>
      </c>
      <c r="B604" s="1">
        <v>45327</v>
      </c>
      <c r="C604" t="s">
        <v>35</v>
      </c>
      <c r="D604" t="s">
        <v>97</v>
      </c>
      <c r="E604" t="s">
        <v>44</v>
      </c>
      <c r="F604">
        <v>2</v>
      </c>
      <c r="G604">
        <v>3200.47</v>
      </c>
      <c r="H604" s="5">
        <v>0.25</v>
      </c>
      <c r="I604" t="s">
        <v>16</v>
      </c>
      <c r="J604" t="s">
        <v>49</v>
      </c>
      <c r="K604" t="s">
        <v>33</v>
      </c>
      <c r="L604">
        <v>4800.7</v>
      </c>
      <c r="M604" s="2" t="str">
        <f t="shared" si="18"/>
        <v>Feb</v>
      </c>
      <c r="N604" s="2" t="str">
        <f t="shared" si="19"/>
        <v>low</v>
      </c>
      <c r="O604" s="2"/>
    </row>
    <row r="605" spans="1:15">
      <c r="A605" t="s">
        <v>663</v>
      </c>
      <c r="B605" s="1">
        <v>45452</v>
      </c>
      <c r="C605" t="s">
        <v>38</v>
      </c>
      <c r="D605" t="s">
        <v>164</v>
      </c>
      <c r="E605" t="s">
        <v>53</v>
      </c>
      <c r="F605">
        <v>4</v>
      </c>
      <c r="G605">
        <v>2692.21</v>
      </c>
      <c r="H605" s="5">
        <v>0.2</v>
      </c>
      <c r="I605" t="s">
        <v>16</v>
      </c>
      <c r="J605" t="s">
        <v>49</v>
      </c>
      <c r="K605" t="s">
        <v>33</v>
      </c>
      <c r="L605">
        <f>(F605*G605)-(F605*G605)*H605</f>
        <v>8615.0720000000001</v>
      </c>
      <c r="M605" s="2" t="str">
        <f t="shared" si="18"/>
        <v>Jun</v>
      </c>
      <c r="N605" s="2" t="str">
        <f t="shared" si="19"/>
        <v>low</v>
      </c>
      <c r="O605" s="2"/>
    </row>
    <row r="606" spans="1:15">
      <c r="A606" t="s">
        <v>664</v>
      </c>
      <c r="B606" s="1">
        <v>45508</v>
      </c>
      <c r="C606" t="s">
        <v>35</v>
      </c>
      <c r="D606" t="s">
        <v>68</v>
      </c>
      <c r="E606" t="s">
        <v>53</v>
      </c>
      <c r="F606">
        <v>2</v>
      </c>
      <c r="G606">
        <v>1903.28</v>
      </c>
      <c r="H606" s="5">
        <v>0</v>
      </c>
      <c r="I606" t="s">
        <v>16</v>
      </c>
      <c r="J606" t="s">
        <v>49</v>
      </c>
      <c r="K606" t="s">
        <v>33</v>
      </c>
      <c r="L606">
        <v>3806.56</v>
      </c>
      <c r="M606" s="2" t="str">
        <f t="shared" si="18"/>
        <v>Aug</v>
      </c>
      <c r="N606" s="2" t="str">
        <f t="shared" si="19"/>
        <v>low</v>
      </c>
      <c r="O606" s="2"/>
    </row>
    <row r="607" spans="1:15">
      <c r="A607" t="s">
        <v>665</v>
      </c>
      <c r="B607" s="1">
        <v>45568</v>
      </c>
      <c r="C607" t="s">
        <v>35</v>
      </c>
      <c r="D607" t="s">
        <v>68</v>
      </c>
      <c r="E607" t="s">
        <v>47</v>
      </c>
      <c r="F607">
        <v>5</v>
      </c>
      <c r="G607">
        <v>919.25</v>
      </c>
      <c r="H607" s="5">
        <v>0.25</v>
      </c>
      <c r="I607" t="s">
        <v>16</v>
      </c>
      <c r="J607" t="s">
        <v>29</v>
      </c>
      <c r="K607" t="s">
        <v>18</v>
      </c>
      <c r="L607">
        <v>3447.19</v>
      </c>
      <c r="M607" s="2" t="str">
        <f t="shared" si="18"/>
        <v>Oct</v>
      </c>
      <c r="N607" s="2" t="str">
        <f t="shared" si="19"/>
        <v>low</v>
      </c>
      <c r="O607" s="2"/>
    </row>
    <row r="608" spans="1:15">
      <c r="A608" t="s">
        <v>666</v>
      </c>
      <c r="B608" s="1">
        <v>45462</v>
      </c>
      <c r="C608" t="s">
        <v>20</v>
      </c>
      <c r="D608" t="s">
        <v>59</v>
      </c>
      <c r="E608" t="s">
        <v>32</v>
      </c>
      <c r="F608">
        <v>3</v>
      </c>
      <c r="G608">
        <v>1126.47</v>
      </c>
      <c r="H608" s="5">
        <v>0.25</v>
      </c>
      <c r="I608" t="s">
        <v>16</v>
      </c>
      <c r="J608" t="s">
        <v>49</v>
      </c>
      <c r="K608" t="s">
        <v>33</v>
      </c>
      <c r="L608">
        <v>2534.56</v>
      </c>
      <c r="M608" s="2" t="str">
        <f t="shared" si="18"/>
        <v>Jun</v>
      </c>
      <c r="N608" s="2" t="str">
        <f t="shared" si="19"/>
        <v>low</v>
      </c>
      <c r="O608" s="2"/>
    </row>
    <row r="609" spans="1:15">
      <c r="A609" t="s">
        <v>667</v>
      </c>
      <c r="B609" s="1">
        <v>45331</v>
      </c>
      <c r="C609" t="s">
        <v>25</v>
      </c>
      <c r="D609" t="s">
        <v>31</v>
      </c>
      <c r="E609" t="s">
        <v>32</v>
      </c>
      <c r="F609">
        <v>2</v>
      </c>
      <c r="G609">
        <v>2208.0100000000002</v>
      </c>
      <c r="H609" s="5">
        <v>0.1</v>
      </c>
      <c r="I609" t="s">
        <v>16</v>
      </c>
      <c r="J609" t="s">
        <v>49</v>
      </c>
      <c r="K609" t="s">
        <v>18</v>
      </c>
      <c r="L609">
        <v>3974.42</v>
      </c>
      <c r="M609" s="2" t="str">
        <f t="shared" si="18"/>
        <v>Feb</v>
      </c>
      <c r="N609" s="2" t="str">
        <f t="shared" si="19"/>
        <v>low</v>
      </c>
      <c r="O609" s="2"/>
    </row>
    <row r="610" spans="1:15">
      <c r="A610" t="s">
        <v>668</v>
      </c>
      <c r="B610" s="1">
        <v>45606</v>
      </c>
      <c r="C610" t="s">
        <v>20</v>
      </c>
      <c r="D610" t="s">
        <v>57</v>
      </c>
      <c r="E610" t="s">
        <v>1160</v>
      </c>
      <c r="F610">
        <v>4</v>
      </c>
      <c r="G610">
        <v>6202.45</v>
      </c>
      <c r="H610" s="5">
        <v>0</v>
      </c>
      <c r="I610" t="s">
        <v>16</v>
      </c>
      <c r="J610" t="s">
        <v>29</v>
      </c>
      <c r="K610" t="s">
        <v>33</v>
      </c>
      <c r="L610">
        <v>24809.8</v>
      </c>
      <c r="M610" s="2" t="str">
        <f t="shared" si="18"/>
        <v>Nov</v>
      </c>
      <c r="N610" s="2" t="str">
        <f t="shared" si="19"/>
        <v>high</v>
      </c>
      <c r="O610" s="2"/>
    </row>
    <row r="611" spans="1:15">
      <c r="A611" t="s">
        <v>669</v>
      </c>
      <c r="B611" s="1">
        <v>45474</v>
      </c>
      <c r="C611" t="s">
        <v>38</v>
      </c>
      <c r="D611" t="s">
        <v>51</v>
      </c>
      <c r="E611" t="s">
        <v>15</v>
      </c>
      <c r="F611">
        <v>4</v>
      </c>
      <c r="G611">
        <v>7716</v>
      </c>
      <c r="H611" s="5">
        <v>0.1</v>
      </c>
      <c r="I611" t="s">
        <v>16</v>
      </c>
      <c r="J611" t="s">
        <v>49</v>
      </c>
      <c r="K611" t="s">
        <v>33</v>
      </c>
      <c r="L611">
        <v>27777.599999999999</v>
      </c>
      <c r="M611" s="2" t="str">
        <f t="shared" si="18"/>
        <v>Jul</v>
      </c>
      <c r="N611" s="2" t="str">
        <f t="shared" si="19"/>
        <v>high</v>
      </c>
      <c r="O611" s="2"/>
    </row>
    <row r="612" spans="1:15">
      <c r="A612" t="s">
        <v>670</v>
      </c>
      <c r="B612" s="1">
        <v>45318</v>
      </c>
      <c r="C612" t="s">
        <v>25</v>
      </c>
      <c r="D612" t="s">
        <v>87</v>
      </c>
      <c r="E612" t="s">
        <v>47</v>
      </c>
      <c r="F612">
        <v>5</v>
      </c>
      <c r="G612">
        <v>6749.53</v>
      </c>
      <c r="H612" s="5">
        <v>0.25</v>
      </c>
      <c r="I612" t="s">
        <v>16</v>
      </c>
      <c r="J612" t="s">
        <v>49</v>
      </c>
      <c r="K612" t="s">
        <v>33</v>
      </c>
      <c r="L612">
        <v>25310.74</v>
      </c>
      <c r="M612" s="2" t="str">
        <f t="shared" si="18"/>
        <v>Jan</v>
      </c>
      <c r="N612" s="2" t="str">
        <f t="shared" si="19"/>
        <v>high</v>
      </c>
      <c r="O612" s="2"/>
    </row>
    <row r="613" spans="1:15">
      <c r="A613" t="s">
        <v>671</v>
      </c>
      <c r="B613" s="1">
        <v>45350</v>
      </c>
      <c r="C613" t="s">
        <v>38</v>
      </c>
      <c r="D613" t="s">
        <v>42</v>
      </c>
      <c r="E613" t="s">
        <v>27</v>
      </c>
      <c r="F613">
        <v>3</v>
      </c>
      <c r="G613">
        <v>1176.46</v>
      </c>
      <c r="H613" s="5">
        <v>0</v>
      </c>
      <c r="I613" t="s">
        <v>28</v>
      </c>
      <c r="J613" t="s">
        <v>29</v>
      </c>
      <c r="K613" t="s">
        <v>33</v>
      </c>
      <c r="L613">
        <v>3529.38</v>
      </c>
      <c r="M613" s="2" t="str">
        <f t="shared" si="18"/>
        <v>Feb</v>
      </c>
      <c r="N613" s="2" t="str">
        <f t="shared" si="19"/>
        <v>low</v>
      </c>
      <c r="O613" s="2"/>
    </row>
    <row r="614" spans="1:15">
      <c r="A614" t="s">
        <v>672</v>
      </c>
      <c r="B614" s="1">
        <v>45418</v>
      </c>
      <c r="C614" t="s">
        <v>20</v>
      </c>
      <c r="D614" t="s">
        <v>59</v>
      </c>
      <c r="E614" t="s">
        <v>80</v>
      </c>
      <c r="F614">
        <v>3</v>
      </c>
      <c r="G614">
        <v>708.9</v>
      </c>
      <c r="H614" s="5">
        <v>0</v>
      </c>
      <c r="I614" t="s">
        <v>16</v>
      </c>
      <c r="J614" t="s">
        <v>29</v>
      </c>
      <c r="K614" t="s">
        <v>33</v>
      </c>
      <c r="L614">
        <v>2126.6999999999998</v>
      </c>
      <c r="M614" s="2" t="str">
        <f t="shared" si="18"/>
        <v>May</v>
      </c>
      <c r="N614" s="2" t="str">
        <f t="shared" si="19"/>
        <v>low</v>
      </c>
      <c r="O614" s="2"/>
    </row>
    <row r="615" spans="1:15">
      <c r="A615" t="s">
        <v>673</v>
      </c>
      <c r="B615" s="1">
        <v>45337</v>
      </c>
      <c r="C615" t="s">
        <v>38</v>
      </c>
      <c r="D615" t="s">
        <v>100</v>
      </c>
      <c r="E615" t="s">
        <v>1160</v>
      </c>
      <c r="F615">
        <v>6</v>
      </c>
      <c r="G615">
        <v>3761.74</v>
      </c>
      <c r="H615" s="5">
        <v>0</v>
      </c>
      <c r="I615" t="s">
        <v>16</v>
      </c>
      <c r="J615" t="s">
        <v>49</v>
      </c>
      <c r="K615" t="s">
        <v>33</v>
      </c>
      <c r="L615">
        <v>22570.44</v>
      </c>
      <c r="M615" s="2" t="str">
        <f t="shared" si="18"/>
        <v>Feb</v>
      </c>
      <c r="N615" s="2" t="str">
        <f t="shared" si="19"/>
        <v>high</v>
      </c>
      <c r="O615" s="2"/>
    </row>
    <row r="616" spans="1:15">
      <c r="A616" t="s">
        <v>674</v>
      </c>
      <c r="B616" s="1">
        <v>45532</v>
      </c>
      <c r="C616" t="s">
        <v>38</v>
      </c>
      <c r="D616" t="s">
        <v>51</v>
      </c>
      <c r="E616" t="s">
        <v>15</v>
      </c>
      <c r="F616">
        <v>1</v>
      </c>
      <c r="G616">
        <v>4212.76</v>
      </c>
      <c r="H616" s="5">
        <v>0.1</v>
      </c>
      <c r="I616" t="s">
        <v>16</v>
      </c>
      <c r="J616" t="s">
        <v>29</v>
      </c>
      <c r="K616" t="s">
        <v>33</v>
      </c>
      <c r="L616">
        <f>(F616*G616)-(F616*G616)*H616</f>
        <v>3791.4840000000004</v>
      </c>
      <c r="M616" s="2" t="str">
        <f t="shared" si="18"/>
        <v>Aug</v>
      </c>
      <c r="N616" s="2" t="str">
        <f t="shared" si="19"/>
        <v>low</v>
      </c>
      <c r="O616" s="2"/>
    </row>
    <row r="617" spans="1:15">
      <c r="A617" t="s">
        <v>675</v>
      </c>
      <c r="B617" s="1">
        <v>45552</v>
      </c>
      <c r="C617" t="s">
        <v>35</v>
      </c>
      <c r="D617" t="s">
        <v>36</v>
      </c>
      <c r="E617" t="s">
        <v>32</v>
      </c>
      <c r="F617">
        <v>5</v>
      </c>
      <c r="G617">
        <v>3884.11</v>
      </c>
      <c r="H617" s="5">
        <v>0.1</v>
      </c>
      <c r="I617" t="s">
        <v>16</v>
      </c>
      <c r="J617" t="s">
        <v>49</v>
      </c>
      <c r="K617" t="s">
        <v>18</v>
      </c>
      <c r="L617">
        <v>17478.490000000002</v>
      </c>
      <c r="M617" s="2" t="str">
        <f t="shared" si="18"/>
        <v>Sep</v>
      </c>
      <c r="N617" s="2" t="str">
        <f t="shared" si="19"/>
        <v>medium</v>
      </c>
      <c r="O617" s="2"/>
    </row>
    <row r="618" spans="1:15">
      <c r="A618" t="s">
        <v>676</v>
      </c>
      <c r="B618" s="1">
        <v>45558</v>
      </c>
      <c r="C618" t="s">
        <v>35</v>
      </c>
      <c r="D618" t="s">
        <v>65</v>
      </c>
      <c r="E618" t="s">
        <v>44</v>
      </c>
      <c r="F618">
        <v>1</v>
      </c>
      <c r="G618">
        <v>4874.92</v>
      </c>
      <c r="H618" s="5">
        <v>0</v>
      </c>
      <c r="I618" t="s">
        <v>16</v>
      </c>
      <c r="J618" t="s">
        <v>40</v>
      </c>
      <c r="K618" t="s">
        <v>33</v>
      </c>
      <c r="L618">
        <v>4874.92</v>
      </c>
      <c r="M618" s="2" t="str">
        <f t="shared" si="18"/>
        <v>Sep</v>
      </c>
      <c r="N618" s="2" t="str">
        <f t="shared" si="19"/>
        <v>low</v>
      </c>
      <c r="O618" s="2"/>
    </row>
    <row r="619" spans="1:15">
      <c r="A619" t="s">
        <v>677</v>
      </c>
      <c r="B619" s="1">
        <v>45637</v>
      </c>
      <c r="C619" t="s">
        <v>38</v>
      </c>
      <c r="D619" t="s">
        <v>39</v>
      </c>
      <c r="E619" t="s">
        <v>80</v>
      </c>
      <c r="F619">
        <v>2</v>
      </c>
      <c r="G619">
        <v>1581.92</v>
      </c>
      <c r="H619" s="5">
        <v>0.15</v>
      </c>
      <c r="I619" t="s">
        <v>16</v>
      </c>
      <c r="J619" t="s">
        <v>17</v>
      </c>
      <c r="K619" t="s">
        <v>18</v>
      </c>
      <c r="L619">
        <v>2689.26</v>
      </c>
      <c r="M619" s="2" t="str">
        <f t="shared" si="18"/>
        <v>Dec</v>
      </c>
      <c r="N619" s="2" t="str">
        <f t="shared" si="19"/>
        <v>low</v>
      </c>
      <c r="O619" s="2"/>
    </row>
    <row r="620" spans="1:15">
      <c r="A620" t="s">
        <v>678</v>
      </c>
      <c r="B620" s="1">
        <v>45385</v>
      </c>
      <c r="C620" t="s">
        <v>25</v>
      </c>
      <c r="D620" t="s">
        <v>94</v>
      </c>
      <c r="E620" t="s">
        <v>80</v>
      </c>
      <c r="F620">
        <v>3</v>
      </c>
      <c r="G620">
        <v>7321.55</v>
      </c>
      <c r="H620" s="5">
        <v>0.25</v>
      </c>
      <c r="I620" t="s">
        <v>22</v>
      </c>
      <c r="J620" t="s">
        <v>40</v>
      </c>
      <c r="K620" t="s">
        <v>18</v>
      </c>
      <c r="L620">
        <v>16473.490000000002</v>
      </c>
      <c r="M620" s="2" t="str">
        <f t="shared" si="18"/>
        <v>Apr</v>
      </c>
      <c r="N620" s="2" t="str">
        <f t="shared" si="19"/>
        <v>medium</v>
      </c>
      <c r="O620" s="2"/>
    </row>
    <row r="621" spans="1:15">
      <c r="A621" t="s">
        <v>679</v>
      </c>
      <c r="B621" s="1">
        <v>45476</v>
      </c>
      <c r="C621" t="s">
        <v>25</v>
      </c>
      <c r="D621" t="s">
        <v>94</v>
      </c>
      <c r="E621" t="s">
        <v>15</v>
      </c>
      <c r="F621">
        <v>4</v>
      </c>
      <c r="G621">
        <v>7907.78</v>
      </c>
      <c r="H621" s="5">
        <v>0.15</v>
      </c>
      <c r="I621" t="s">
        <v>22</v>
      </c>
      <c r="J621" t="s">
        <v>23</v>
      </c>
      <c r="K621" t="s">
        <v>33</v>
      </c>
      <c r="L621">
        <v>26886.45</v>
      </c>
      <c r="M621" s="2" t="str">
        <f t="shared" si="18"/>
        <v>Jul</v>
      </c>
      <c r="N621" s="2" t="str">
        <f t="shared" si="19"/>
        <v>high</v>
      </c>
      <c r="O621" s="2"/>
    </row>
    <row r="622" spans="1:15">
      <c r="A622" t="s">
        <v>680</v>
      </c>
      <c r="B622" s="1">
        <v>45631</v>
      </c>
      <c r="C622" t="s">
        <v>25</v>
      </c>
      <c r="D622" t="s">
        <v>46</v>
      </c>
      <c r="E622" t="s">
        <v>27</v>
      </c>
      <c r="F622">
        <v>3</v>
      </c>
      <c r="G622">
        <v>5721.94</v>
      </c>
      <c r="H622" s="5">
        <v>0.25</v>
      </c>
      <c r="I622" t="s">
        <v>28</v>
      </c>
      <c r="J622" t="s">
        <v>23</v>
      </c>
      <c r="K622" t="s">
        <v>33</v>
      </c>
      <c r="L622">
        <v>12874.36</v>
      </c>
      <c r="M622" s="2" t="str">
        <f t="shared" si="18"/>
        <v>Dec</v>
      </c>
      <c r="N622" s="2" t="str">
        <f t="shared" si="19"/>
        <v>medium</v>
      </c>
      <c r="O622" s="2"/>
    </row>
    <row r="623" spans="1:15">
      <c r="A623" t="s">
        <v>681</v>
      </c>
      <c r="B623" s="1">
        <v>45326</v>
      </c>
      <c r="C623" t="s">
        <v>38</v>
      </c>
      <c r="D623" t="s">
        <v>100</v>
      </c>
      <c r="E623" t="s">
        <v>15</v>
      </c>
      <c r="F623">
        <v>3</v>
      </c>
      <c r="G623">
        <v>3906.04</v>
      </c>
      <c r="H623" s="5">
        <v>0</v>
      </c>
      <c r="I623" t="s">
        <v>16</v>
      </c>
      <c r="J623" t="s">
        <v>23</v>
      </c>
      <c r="K623" t="s">
        <v>33</v>
      </c>
      <c r="L623">
        <v>11718.12</v>
      </c>
      <c r="M623" s="2" t="str">
        <f t="shared" si="18"/>
        <v>Feb</v>
      </c>
      <c r="N623" s="2" t="str">
        <f t="shared" si="19"/>
        <v>medium</v>
      </c>
      <c r="O623" s="2"/>
    </row>
    <row r="624" spans="1:15">
      <c r="A624" t="s">
        <v>682</v>
      </c>
      <c r="B624" s="1">
        <v>45538</v>
      </c>
      <c r="C624" t="s">
        <v>35</v>
      </c>
      <c r="D624" t="s">
        <v>36</v>
      </c>
      <c r="E624" t="s">
        <v>15</v>
      </c>
      <c r="F624">
        <v>6</v>
      </c>
      <c r="G624">
        <v>1782.8</v>
      </c>
      <c r="H624" s="5">
        <v>0.05</v>
      </c>
      <c r="I624" t="s">
        <v>16</v>
      </c>
      <c r="J624" t="s">
        <v>49</v>
      </c>
      <c r="K624" t="s">
        <v>33</v>
      </c>
      <c r="L624">
        <v>10161.959999999999</v>
      </c>
      <c r="M624" s="2" t="str">
        <f t="shared" si="18"/>
        <v>Sep</v>
      </c>
      <c r="N624" s="2" t="str">
        <f t="shared" si="19"/>
        <v>medium</v>
      </c>
      <c r="O624" s="2"/>
    </row>
    <row r="625" spans="1:15">
      <c r="A625" t="s">
        <v>683</v>
      </c>
      <c r="B625" s="1">
        <v>45574</v>
      </c>
      <c r="C625" t="s">
        <v>38</v>
      </c>
      <c r="D625" t="s">
        <v>164</v>
      </c>
      <c r="E625" t="s">
        <v>15</v>
      </c>
      <c r="F625">
        <v>6</v>
      </c>
      <c r="G625">
        <v>324.97000000000003</v>
      </c>
      <c r="H625" s="5">
        <v>0.15</v>
      </c>
      <c r="I625" t="s">
        <v>55</v>
      </c>
      <c r="J625" t="s">
        <v>23</v>
      </c>
      <c r="K625" t="s">
        <v>33</v>
      </c>
      <c r="L625">
        <v>1657.35</v>
      </c>
      <c r="M625" s="2" t="str">
        <f t="shared" si="18"/>
        <v>Oct</v>
      </c>
      <c r="N625" s="2" t="str">
        <f t="shared" si="19"/>
        <v>low</v>
      </c>
      <c r="O625" s="2"/>
    </row>
    <row r="626" spans="1:15">
      <c r="A626" t="s">
        <v>684</v>
      </c>
      <c r="B626" s="1">
        <v>45350</v>
      </c>
      <c r="C626" t="s">
        <v>20</v>
      </c>
      <c r="D626" t="s">
        <v>59</v>
      </c>
      <c r="E626" t="s">
        <v>44</v>
      </c>
      <c r="F626">
        <v>6</v>
      </c>
      <c r="G626">
        <v>1392.79</v>
      </c>
      <c r="H626" s="5">
        <v>0.1</v>
      </c>
      <c r="I626" t="s">
        <v>16</v>
      </c>
      <c r="J626" t="s">
        <v>29</v>
      </c>
      <c r="K626" t="s">
        <v>18</v>
      </c>
      <c r="L626">
        <v>7521.07</v>
      </c>
      <c r="M626" s="2" t="str">
        <f t="shared" si="18"/>
        <v>Feb</v>
      </c>
      <c r="N626" s="2" t="str">
        <f t="shared" si="19"/>
        <v>low</v>
      </c>
      <c r="O626" s="2"/>
    </row>
    <row r="627" spans="1:15">
      <c r="A627" t="s">
        <v>685</v>
      </c>
      <c r="B627" s="1">
        <v>45576</v>
      </c>
      <c r="C627" t="s">
        <v>38</v>
      </c>
      <c r="D627" t="s">
        <v>100</v>
      </c>
      <c r="E627" t="s">
        <v>80</v>
      </c>
      <c r="F627">
        <v>1</v>
      </c>
      <c r="G627">
        <v>6145.1</v>
      </c>
      <c r="H627" s="5">
        <v>0.1</v>
      </c>
      <c r="I627" t="s">
        <v>55</v>
      </c>
      <c r="J627" t="s">
        <v>40</v>
      </c>
      <c r="K627" t="s">
        <v>33</v>
      </c>
      <c r="L627">
        <v>5530.59</v>
      </c>
      <c r="M627" s="2" t="str">
        <f t="shared" si="18"/>
        <v>Oct</v>
      </c>
      <c r="N627" s="2" t="str">
        <f t="shared" si="19"/>
        <v>low</v>
      </c>
      <c r="O627" s="2"/>
    </row>
    <row r="628" spans="1:15">
      <c r="A628" t="s">
        <v>686</v>
      </c>
      <c r="B628" s="1">
        <v>45635</v>
      </c>
      <c r="C628" t="s">
        <v>25</v>
      </c>
      <c r="D628" t="s">
        <v>31</v>
      </c>
      <c r="E628" t="s">
        <v>44</v>
      </c>
      <c r="F628">
        <v>3</v>
      </c>
      <c r="G628">
        <v>6750.86</v>
      </c>
      <c r="H628" s="5">
        <v>0</v>
      </c>
      <c r="I628" t="s">
        <v>16</v>
      </c>
      <c r="J628" t="s">
        <v>49</v>
      </c>
      <c r="K628" t="s">
        <v>33</v>
      </c>
      <c r="L628">
        <v>20252.580000000002</v>
      </c>
      <c r="M628" s="2" t="str">
        <f t="shared" si="18"/>
        <v>Dec</v>
      </c>
      <c r="N628" s="2" t="str">
        <f t="shared" si="19"/>
        <v>high</v>
      </c>
      <c r="O628" s="2"/>
    </row>
    <row r="629" spans="1:15">
      <c r="A629" t="s">
        <v>687</v>
      </c>
      <c r="B629" s="1">
        <v>45440</v>
      </c>
      <c r="C629" t="s">
        <v>35</v>
      </c>
      <c r="D629" t="s">
        <v>68</v>
      </c>
      <c r="E629" t="s">
        <v>80</v>
      </c>
      <c r="F629">
        <v>1</v>
      </c>
      <c r="G629">
        <v>4392.1000000000004</v>
      </c>
      <c r="H629" s="5">
        <v>0</v>
      </c>
      <c r="I629" t="s">
        <v>55</v>
      </c>
      <c r="J629" t="s">
        <v>40</v>
      </c>
      <c r="K629" t="s">
        <v>33</v>
      </c>
      <c r="L629">
        <v>4392.1000000000004</v>
      </c>
      <c r="M629" s="2" t="str">
        <f t="shared" si="18"/>
        <v>May</v>
      </c>
      <c r="N629" s="2" t="str">
        <f t="shared" si="19"/>
        <v>low</v>
      </c>
      <c r="O629" s="2"/>
    </row>
    <row r="630" spans="1:15">
      <c r="A630" t="s">
        <v>688</v>
      </c>
      <c r="B630" s="1">
        <v>45509</v>
      </c>
      <c r="C630" t="s">
        <v>35</v>
      </c>
      <c r="D630" t="s">
        <v>63</v>
      </c>
      <c r="E630" t="s">
        <v>15</v>
      </c>
      <c r="F630">
        <v>3</v>
      </c>
      <c r="G630">
        <v>4926.75</v>
      </c>
      <c r="H630" s="5">
        <v>0.15</v>
      </c>
      <c r="I630" t="s">
        <v>28</v>
      </c>
      <c r="J630" t="s">
        <v>49</v>
      </c>
      <c r="K630" t="s">
        <v>18</v>
      </c>
      <c r="L630">
        <v>12563.21</v>
      </c>
      <c r="M630" s="2" t="str">
        <f t="shared" si="18"/>
        <v>Aug</v>
      </c>
      <c r="N630" s="2" t="str">
        <f t="shared" si="19"/>
        <v>medium</v>
      </c>
      <c r="O630" s="2"/>
    </row>
    <row r="631" spans="1:15">
      <c r="A631" t="s">
        <v>689</v>
      </c>
      <c r="B631" s="1">
        <v>45478</v>
      </c>
      <c r="C631" t="s">
        <v>38</v>
      </c>
      <c r="D631" t="s">
        <v>42</v>
      </c>
      <c r="E631" t="s">
        <v>1160</v>
      </c>
      <c r="F631">
        <v>5</v>
      </c>
      <c r="G631">
        <v>3861.02</v>
      </c>
      <c r="H631" s="5">
        <v>0</v>
      </c>
      <c r="I631" t="s">
        <v>16</v>
      </c>
      <c r="J631" t="s">
        <v>49</v>
      </c>
      <c r="K631" t="s">
        <v>33</v>
      </c>
      <c r="L631">
        <v>19305.099999999999</v>
      </c>
      <c r="M631" s="2" t="str">
        <f t="shared" si="18"/>
        <v>Jul</v>
      </c>
      <c r="N631" s="2" t="str">
        <f t="shared" si="19"/>
        <v>medium</v>
      </c>
      <c r="O631" s="2"/>
    </row>
    <row r="632" spans="1:15">
      <c r="A632" t="s">
        <v>690</v>
      </c>
      <c r="B632" s="1">
        <v>45473</v>
      </c>
      <c r="C632" t="s">
        <v>20</v>
      </c>
      <c r="D632" t="s">
        <v>59</v>
      </c>
      <c r="E632" t="s">
        <v>47</v>
      </c>
      <c r="F632">
        <v>6</v>
      </c>
      <c r="G632">
        <v>1624.89</v>
      </c>
      <c r="H632" s="5">
        <v>0.25</v>
      </c>
      <c r="I632" t="s">
        <v>22</v>
      </c>
      <c r="J632" t="s">
        <v>17</v>
      </c>
      <c r="K632" t="s">
        <v>33</v>
      </c>
      <c r="L632">
        <v>7312.01</v>
      </c>
      <c r="M632" s="2" t="str">
        <f t="shared" si="18"/>
        <v>Jun</v>
      </c>
      <c r="N632" s="2" t="str">
        <f t="shared" si="19"/>
        <v>low</v>
      </c>
      <c r="O632" s="2"/>
    </row>
    <row r="633" spans="1:15">
      <c r="A633" t="s">
        <v>691</v>
      </c>
      <c r="B633" s="1">
        <v>45318</v>
      </c>
      <c r="C633" t="s">
        <v>13</v>
      </c>
      <c r="D633" t="s">
        <v>74</v>
      </c>
      <c r="E633" t="s">
        <v>32</v>
      </c>
      <c r="F633">
        <v>1</v>
      </c>
      <c r="G633">
        <v>3784.25</v>
      </c>
      <c r="H633" s="5">
        <v>0</v>
      </c>
      <c r="I633" t="s">
        <v>28</v>
      </c>
      <c r="J633" t="s">
        <v>49</v>
      </c>
      <c r="K633" t="s">
        <v>33</v>
      </c>
      <c r="L633">
        <v>3784.25</v>
      </c>
      <c r="M633" s="2" t="str">
        <f t="shared" si="18"/>
        <v>Jan</v>
      </c>
      <c r="N633" s="2" t="str">
        <f t="shared" si="19"/>
        <v>low</v>
      </c>
      <c r="O633" s="2"/>
    </row>
    <row r="634" spans="1:15">
      <c r="A634" t="s">
        <v>692</v>
      </c>
      <c r="B634" s="1">
        <v>45575</v>
      </c>
      <c r="C634" t="s">
        <v>38</v>
      </c>
      <c r="D634" t="s">
        <v>51</v>
      </c>
      <c r="E634" t="s">
        <v>44</v>
      </c>
      <c r="F634">
        <v>3</v>
      </c>
      <c r="G634">
        <v>5282.79</v>
      </c>
      <c r="H634" s="5">
        <v>0.25</v>
      </c>
      <c r="I634" t="s">
        <v>16</v>
      </c>
      <c r="J634" t="s">
        <v>40</v>
      </c>
      <c r="K634" t="s">
        <v>18</v>
      </c>
      <c r="L634">
        <v>11886.28</v>
      </c>
      <c r="M634" s="2" t="str">
        <f t="shared" si="18"/>
        <v>Oct</v>
      </c>
      <c r="N634" s="2" t="str">
        <f t="shared" si="19"/>
        <v>medium</v>
      </c>
      <c r="O634" s="2"/>
    </row>
    <row r="635" spans="1:15">
      <c r="A635" t="s">
        <v>693</v>
      </c>
      <c r="B635" s="1">
        <v>45624</v>
      </c>
      <c r="C635" t="s">
        <v>38</v>
      </c>
      <c r="D635" t="s">
        <v>164</v>
      </c>
      <c r="E635" t="s">
        <v>32</v>
      </c>
      <c r="F635">
        <v>5</v>
      </c>
      <c r="G635">
        <v>1296.58</v>
      </c>
      <c r="H635" s="5">
        <v>0.1</v>
      </c>
      <c r="I635" t="s">
        <v>28</v>
      </c>
      <c r="J635" t="s">
        <v>17</v>
      </c>
      <c r="K635" t="s">
        <v>33</v>
      </c>
      <c r="L635">
        <v>5834.61</v>
      </c>
      <c r="M635" s="2" t="str">
        <f t="shared" si="18"/>
        <v>Nov</v>
      </c>
      <c r="N635" s="2" t="str">
        <f t="shared" si="19"/>
        <v>low</v>
      </c>
      <c r="O635" s="2"/>
    </row>
    <row r="636" spans="1:15">
      <c r="A636" t="s">
        <v>694</v>
      </c>
      <c r="B636" s="1">
        <v>45652</v>
      </c>
      <c r="C636" t="s">
        <v>35</v>
      </c>
      <c r="D636" t="s">
        <v>36</v>
      </c>
      <c r="E636" t="s">
        <v>1160</v>
      </c>
      <c r="F636">
        <v>2</v>
      </c>
      <c r="G636">
        <v>6281.43</v>
      </c>
      <c r="H636" s="5">
        <v>0.15</v>
      </c>
      <c r="I636" t="s">
        <v>16</v>
      </c>
      <c r="J636" t="s">
        <v>29</v>
      </c>
      <c r="K636" t="s">
        <v>33</v>
      </c>
      <c r="L636">
        <v>10678.43</v>
      </c>
      <c r="M636" s="2" t="str">
        <f t="shared" si="18"/>
        <v>Dec</v>
      </c>
      <c r="N636" s="2" t="str">
        <f t="shared" si="19"/>
        <v>medium</v>
      </c>
      <c r="O636" s="2"/>
    </row>
    <row r="637" spans="1:15">
      <c r="A637" t="s">
        <v>695</v>
      </c>
      <c r="B637" s="1">
        <v>45435</v>
      </c>
      <c r="C637" t="s">
        <v>20</v>
      </c>
      <c r="D637" t="s">
        <v>59</v>
      </c>
      <c r="E637" t="s">
        <v>53</v>
      </c>
      <c r="F637">
        <v>6</v>
      </c>
      <c r="G637">
        <v>4011.14</v>
      </c>
      <c r="H637" s="5">
        <v>0.15</v>
      </c>
      <c r="I637" t="s">
        <v>16</v>
      </c>
      <c r="J637" t="s">
        <v>17</v>
      </c>
      <c r="K637" t="s">
        <v>33</v>
      </c>
      <c r="L637">
        <v>20456.810000000001</v>
      </c>
      <c r="M637" s="2" t="str">
        <f t="shared" si="18"/>
        <v>May</v>
      </c>
      <c r="N637" s="2" t="str">
        <f t="shared" si="19"/>
        <v>high</v>
      </c>
      <c r="O637" s="2"/>
    </row>
    <row r="638" spans="1:15">
      <c r="A638" t="s">
        <v>696</v>
      </c>
      <c r="B638" s="1">
        <v>45538</v>
      </c>
      <c r="C638" t="s">
        <v>35</v>
      </c>
      <c r="D638" t="s">
        <v>97</v>
      </c>
      <c r="E638" t="s">
        <v>53</v>
      </c>
      <c r="F638">
        <v>2</v>
      </c>
      <c r="G638">
        <v>2892.1</v>
      </c>
      <c r="H638" s="5">
        <v>0.05</v>
      </c>
      <c r="I638" t="s">
        <v>22</v>
      </c>
      <c r="J638" t="s">
        <v>23</v>
      </c>
      <c r="K638" t="s">
        <v>33</v>
      </c>
      <c r="L638">
        <v>5494.99</v>
      </c>
      <c r="M638" s="2" t="str">
        <f t="shared" si="18"/>
        <v>Sep</v>
      </c>
      <c r="N638" s="2" t="str">
        <f t="shared" si="19"/>
        <v>low</v>
      </c>
      <c r="O638" s="2"/>
    </row>
    <row r="639" spans="1:15">
      <c r="A639" t="s">
        <v>697</v>
      </c>
      <c r="B639" s="1">
        <v>45334</v>
      </c>
      <c r="C639" t="s">
        <v>20</v>
      </c>
      <c r="D639" t="s">
        <v>57</v>
      </c>
      <c r="E639" t="s">
        <v>27</v>
      </c>
      <c r="F639">
        <v>1</v>
      </c>
      <c r="G639">
        <v>5453.74</v>
      </c>
      <c r="H639" s="5">
        <v>0.2</v>
      </c>
      <c r="I639" t="s">
        <v>28</v>
      </c>
      <c r="J639" t="s">
        <v>17</v>
      </c>
      <c r="K639" t="s">
        <v>33</v>
      </c>
      <c r="L639">
        <v>4362.99</v>
      </c>
      <c r="M639" s="2" t="str">
        <f t="shared" si="18"/>
        <v>Feb</v>
      </c>
      <c r="N639" s="2" t="str">
        <f t="shared" si="19"/>
        <v>low</v>
      </c>
      <c r="O639" s="2"/>
    </row>
    <row r="640" spans="1:15">
      <c r="A640" t="s">
        <v>698</v>
      </c>
      <c r="B640" s="1">
        <v>45496</v>
      </c>
      <c r="C640" t="s">
        <v>35</v>
      </c>
      <c r="D640" t="s">
        <v>68</v>
      </c>
      <c r="E640" t="s">
        <v>53</v>
      </c>
      <c r="F640">
        <v>1</v>
      </c>
      <c r="G640">
        <v>6934.18</v>
      </c>
      <c r="H640" s="5">
        <v>0.15</v>
      </c>
      <c r="I640" t="s">
        <v>16</v>
      </c>
      <c r="J640" t="s">
        <v>23</v>
      </c>
      <c r="K640" t="s">
        <v>18</v>
      </c>
      <c r="L640">
        <v>5894.05</v>
      </c>
      <c r="M640" s="2" t="str">
        <f t="shared" si="18"/>
        <v>Jul</v>
      </c>
      <c r="N640" s="2" t="str">
        <f t="shared" si="19"/>
        <v>low</v>
      </c>
      <c r="O640" s="2"/>
    </row>
    <row r="641" spans="1:15">
      <c r="A641" t="s">
        <v>699</v>
      </c>
      <c r="B641" s="1">
        <v>45525</v>
      </c>
      <c r="C641" t="s">
        <v>25</v>
      </c>
      <c r="D641" t="s">
        <v>26</v>
      </c>
      <c r="E641" t="s">
        <v>80</v>
      </c>
      <c r="F641">
        <v>2</v>
      </c>
      <c r="G641">
        <v>6729.69</v>
      </c>
      <c r="H641" s="5">
        <v>0</v>
      </c>
      <c r="I641" t="s">
        <v>16</v>
      </c>
      <c r="J641" t="s">
        <v>29</v>
      </c>
      <c r="K641" t="s">
        <v>33</v>
      </c>
      <c r="L641">
        <v>13459.38</v>
      </c>
      <c r="M641" s="2" t="str">
        <f t="shared" si="18"/>
        <v>Aug</v>
      </c>
      <c r="N641" s="2" t="str">
        <f t="shared" si="19"/>
        <v>medium</v>
      </c>
      <c r="O641" s="2"/>
    </row>
    <row r="642" spans="1:15">
      <c r="A642" t="s">
        <v>700</v>
      </c>
      <c r="B642" s="1">
        <v>45633</v>
      </c>
      <c r="C642" t="s">
        <v>20</v>
      </c>
      <c r="D642" t="s">
        <v>78</v>
      </c>
      <c r="E642" t="s">
        <v>47</v>
      </c>
      <c r="F642">
        <v>5</v>
      </c>
      <c r="G642">
        <v>4022.24</v>
      </c>
      <c r="H642" s="5">
        <v>0.1</v>
      </c>
      <c r="I642" t="s">
        <v>16</v>
      </c>
      <c r="J642" t="s">
        <v>49</v>
      </c>
      <c r="K642" t="s">
        <v>33</v>
      </c>
      <c r="L642">
        <v>18100.080000000002</v>
      </c>
      <c r="M642" s="2" t="str">
        <f t="shared" ref="M642:M705" si="20">TEXT(B642,"mmm")</f>
        <v>Dec</v>
      </c>
      <c r="N642" s="2" t="str">
        <f t="shared" ref="N642:N705" si="21">IF(L642&gt;20000,"high",IF(L642&gt;10000,"medium","low"))</f>
        <v>medium</v>
      </c>
      <c r="O642" s="2"/>
    </row>
    <row r="643" spans="1:15">
      <c r="A643" t="s">
        <v>701</v>
      </c>
      <c r="B643" s="1">
        <v>45623</v>
      </c>
      <c r="C643" t="s">
        <v>35</v>
      </c>
      <c r="D643" t="s">
        <v>68</v>
      </c>
      <c r="E643" t="s">
        <v>1160</v>
      </c>
      <c r="F643">
        <v>2</v>
      </c>
      <c r="G643">
        <v>4506.05</v>
      </c>
      <c r="H643" s="5">
        <v>0.15</v>
      </c>
      <c r="I643" t="s">
        <v>16</v>
      </c>
      <c r="J643" t="s">
        <v>23</v>
      </c>
      <c r="K643" t="s">
        <v>33</v>
      </c>
      <c r="L643">
        <v>7660.28</v>
      </c>
      <c r="M643" s="2" t="str">
        <f t="shared" si="20"/>
        <v>Nov</v>
      </c>
      <c r="N643" s="2" t="str">
        <f t="shared" si="21"/>
        <v>low</v>
      </c>
      <c r="O643" s="2"/>
    </row>
    <row r="644" spans="1:15">
      <c r="A644" t="s">
        <v>702</v>
      </c>
      <c r="B644" s="1">
        <v>45391</v>
      </c>
      <c r="C644" t="s">
        <v>20</v>
      </c>
      <c r="D644" t="s">
        <v>57</v>
      </c>
      <c r="E644" t="s">
        <v>27</v>
      </c>
      <c r="F644">
        <v>1</v>
      </c>
      <c r="G644">
        <v>1972.45</v>
      </c>
      <c r="H644" s="5">
        <v>0.05</v>
      </c>
      <c r="I644" t="s">
        <v>16</v>
      </c>
      <c r="J644" t="s">
        <v>49</v>
      </c>
      <c r="K644" t="s">
        <v>33</v>
      </c>
      <c r="L644">
        <v>1873.83</v>
      </c>
      <c r="M644" s="2" t="str">
        <f t="shared" si="20"/>
        <v>Apr</v>
      </c>
      <c r="N644" s="2" t="str">
        <f t="shared" si="21"/>
        <v>low</v>
      </c>
      <c r="O644" s="2"/>
    </row>
    <row r="645" spans="1:15">
      <c r="A645" t="s">
        <v>703</v>
      </c>
      <c r="B645" s="1">
        <v>45507</v>
      </c>
      <c r="C645" t="s">
        <v>13</v>
      </c>
      <c r="D645" t="s">
        <v>74</v>
      </c>
      <c r="E645" t="s">
        <v>32</v>
      </c>
      <c r="F645">
        <v>6</v>
      </c>
      <c r="G645">
        <v>4117.29</v>
      </c>
      <c r="H645" s="5">
        <v>0</v>
      </c>
      <c r="I645" t="s">
        <v>55</v>
      </c>
      <c r="J645" t="s">
        <v>23</v>
      </c>
      <c r="K645" t="s">
        <v>33</v>
      </c>
      <c r="L645">
        <v>24703.74</v>
      </c>
      <c r="M645" s="2" t="str">
        <f t="shared" si="20"/>
        <v>Aug</v>
      </c>
      <c r="N645" s="2" t="str">
        <f t="shared" si="21"/>
        <v>high</v>
      </c>
      <c r="O645" s="2"/>
    </row>
    <row r="646" spans="1:15">
      <c r="A646" t="s">
        <v>704</v>
      </c>
      <c r="B646" s="1">
        <v>45568</v>
      </c>
      <c r="C646" t="s">
        <v>25</v>
      </c>
      <c r="D646" t="s">
        <v>31</v>
      </c>
      <c r="E646" t="s">
        <v>1160</v>
      </c>
      <c r="F646">
        <v>1</v>
      </c>
      <c r="G646">
        <v>1203.5899999999999</v>
      </c>
      <c r="H646" s="5">
        <v>0.05</v>
      </c>
      <c r="I646" t="s">
        <v>28</v>
      </c>
      <c r="J646" t="s">
        <v>49</v>
      </c>
      <c r="K646" t="s">
        <v>18</v>
      </c>
      <c r="L646">
        <v>1143.4100000000001</v>
      </c>
      <c r="M646" s="2" t="str">
        <f t="shared" si="20"/>
        <v>Oct</v>
      </c>
      <c r="N646" s="2" t="str">
        <f t="shared" si="21"/>
        <v>low</v>
      </c>
      <c r="O646" s="2"/>
    </row>
    <row r="647" spans="1:15">
      <c r="A647" t="s">
        <v>705</v>
      </c>
      <c r="B647" s="1">
        <v>45298</v>
      </c>
      <c r="C647" t="s">
        <v>25</v>
      </c>
      <c r="D647" t="s">
        <v>87</v>
      </c>
      <c r="E647" t="s">
        <v>47</v>
      </c>
      <c r="F647">
        <v>4</v>
      </c>
      <c r="G647">
        <v>7670.61</v>
      </c>
      <c r="H647" s="5">
        <v>0.25</v>
      </c>
      <c r="I647" t="s">
        <v>16</v>
      </c>
      <c r="J647" t="s">
        <v>40</v>
      </c>
      <c r="K647" t="s">
        <v>33</v>
      </c>
      <c r="L647">
        <v>23011.83</v>
      </c>
      <c r="M647" s="2" t="str">
        <f t="shared" si="20"/>
        <v>Jan</v>
      </c>
      <c r="N647" s="2" t="str">
        <f t="shared" si="21"/>
        <v>high</v>
      </c>
      <c r="O647" s="2"/>
    </row>
    <row r="648" spans="1:15">
      <c r="A648" t="s">
        <v>706</v>
      </c>
      <c r="B648" s="1">
        <v>45380</v>
      </c>
      <c r="C648" t="s">
        <v>20</v>
      </c>
      <c r="D648" t="s">
        <v>21</v>
      </c>
      <c r="E648" t="s">
        <v>44</v>
      </c>
      <c r="F648">
        <v>4</v>
      </c>
      <c r="G648">
        <v>5565.23</v>
      </c>
      <c r="H648" s="5">
        <v>0</v>
      </c>
      <c r="I648" t="s">
        <v>22</v>
      </c>
      <c r="J648" t="s">
        <v>29</v>
      </c>
      <c r="K648" t="s">
        <v>33</v>
      </c>
      <c r="L648">
        <v>22260.92</v>
      </c>
      <c r="M648" s="2" t="str">
        <f t="shared" si="20"/>
        <v>Mar</v>
      </c>
      <c r="N648" s="2" t="str">
        <f t="shared" si="21"/>
        <v>high</v>
      </c>
      <c r="O648" s="2"/>
    </row>
    <row r="649" spans="1:15">
      <c r="A649" t="s">
        <v>707</v>
      </c>
      <c r="B649" s="1">
        <v>45352</v>
      </c>
      <c r="C649" t="s">
        <v>13</v>
      </c>
      <c r="D649" t="s">
        <v>74</v>
      </c>
      <c r="E649" t="s">
        <v>32</v>
      </c>
      <c r="F649">
        <v>2</v>
      </c>
      <c r="G649">
        <v>2804.88</v>
      </c>
      <c r="H649" s="5">
        <v>0</v>
      </c>
      <c r="I649" t="s">
        <v>22</v>
      </c>
      <c r="J649" t="s">
        <v>29</v>
      </c>
      <c r="K649" t="s">
        <v>33</v>
      </c>
      <c r="L649">
        <v>5609.76</v>
      </c>
      <c r="M649" s="2" t="str">
        <f t="shared" si="20"/>
        <v>Mar</v>
      </c>
      <c r="N649" s="2" t="str">
        <f t="shared" si="21"/>
        <v>low</v>
      </c>
      <c r="O649" s="2"/>
    </row>
    <row r="650" spans="1:15">
      <c r="A650" t="s">
        <v>708</v>
      </c>
      <c r="B650" s="1">
        <v>45308</v>
      </c>
      <c r="C650" t="s">
        <v>25</v>
      </c>
      <c r="D650" t="s">
        <v>94</v>
      </c>
      <c r="E650" t="s">
        <v>1160</v>
      </c>
      <c r="F650">
        <v>1</v>
      </c>
      <c r="G650">
        <v>2039.73</v>
      </c>
      <c r="H650" s="5">
        <v>0</v>
      </c>
      <c r="I650" t="s">
        <v>28</v>
      </c>
      <c r="J650" t="s">
        <v>23</v>
      </c>
      <c r="K650" t="s">
        <v>33</v>
      </c>
      <c r="L650">
        <v>2039.73</v>
      </c>
      <c r="M650" s="2" t="str">
        <f t="shared" si="20"/>
        <v>Jan</v>
      </c>
      <c r="N650" s="2" t="str">
        <f t="shared" si="21"/>
        <v>low</v>
      </c>
      <c r="O650" s="2"/>
    </row>
    <row r="651" spans="1:15">
      <c r="A651" t="s">
        <v>709</v>
      </c>
      <c r="B651" s="1">
        <v>45575</v>
      </c>
      <c r="C651" t="s">
        <v>38</v>
      </c>
      <c r="D651" t="s">
        <v>51</v>
      </c>
      <c r="E651" t="s">
        <v>32</v>
      </c>
      <c r="F651">
        <v>3</v>
      </c>
      <c r="G651">
        <v>7596.33</v>
      </c>
      <c r="H651" s="5">
        <v>0</v>
      </c>
      <c r="I651" t="s">
        <v>28</v>
      </c>
      <c r="J651" t="s">
        <v>17</v>
      </c>
      <c r="K651" t="s">
        <v>18</v>
      </c>
      <c r="L651">
        <v>22788.99</v>
      </c>
      <c r="M651" s="2" t="str">
        <f t="shared" si="20"/>
        <v>Oct</v>
      </c>
      <c r="N651" s="2" t="str">
        <f t="shared" si="21"/>
        <v>high</v>
      </c>
      <c r="O651" s="2"/>
    </row>
    <row r="652" spans="1:15">
      <c r="A652" t="s">
        <v>710</v>
      </c>
      <c r="B652" s="1">
        <v>45482</v>
      </c>
      <c r="C652" t="s">
        <v>25</v>
      </c>
      <c r="D652" t="s">
        <v>87</v>
      </c>
      <c r="E652" t="s">
        <v>80</v>
      </c>
      <c r="F652">
        <v>1</v>
      </c>
      <c r="G652">
        <v>4940.93</v>
      </c>
      <c r="H652" s="5">
        <v>0.05</v>
      </c>
      <c r="I652" t="s">
        <v>16</v>
      </c>
      <c r="J652" t="s">
        <v>23</v>
      </c>
      <c r="K652" t="s">
        <v>33</v>
      </c>
      <c r="L652">
        <v>4693.88</v>
      </c>
      <c r="M652" s="2" t="str">
        <f t="shared" si="20"/>
        <v>Jul</v>
      </c>
      <c r="N652" s="2" t="str">
        <f t="shared" si="21"/>
        <v>low</v>
      </c>
      <c r="O652" s="2"/>
    </row>
    <row r="653" spans="1:15">
      <c r="A653" t="s">
        <v>711</v>
      </c>
      <c r="B653" s="1">
        <v>45521</v>
      </c>
      <c r="C653" t="s">
        <v>13</v>
      </c>
      <c r="D653" t="s">
        <v>70</v>
      </c>
      <c r="E653" t="s">
        <v>1160</v>
      </c>
      <c r="F653">
        <v>4</v>
      </c>
      <c r="G653">
        <v>2521.9499999999998</v>
      </c>
      <c r="H653" s="5">
        <v>0.25</v>
      </c>
      <c r="I653" t="s">
        <v>55</v>
      </c>
      <c r="J653" t="s">
        <v>17</v>
      </c>
      <c r="K653" t="s">
        <v>33</v>
      </c>
      <c r="L653">
        <v>7565.85</v>
      </c>
      <c r="M653" s="2" t="str">
        <f t="shared" si="20"/>
        <v>Aug</v>
      </c>
      <c r="N653" s="2" t="str">
        <f t="shared" si="21"/>
        <v>low</v>
      </c>
      <c r="O653" s="2"/>
    </row>
    <row r="654" spans="1:15">
      <c r="A654" t="s">
        <v>712</v>
      </c>
      <c r="B654" s="1">
        <v>45470</v>
      </c>
      <c r="C654" t="s">
        <v>38</v>
      </c>
      <c r="D654" t="s">
        <v>42</v>
      </c>
      <c r="E654" t="s">
        <v>1160</v>
      </c>
      <c r="F654">
        <v>3</v>
      </c>
      <c r="G654">
        <v>6328.22</v>
      </c>
      <c r="H654" s="5">
        <v>0.1</v>
      </c>
      <c r="I654" t="s">
        <v>16</v>
      </c>
      <c r="J654" t="s">
        <v>40</v>
      </c>
      <c r="K654" t="s">
        <v>33</v>
      </c>
      <c r="L654">
        <v>17086.189999999999</v>
      </c>
      <c r="M654" s="2" t="str">
        <f t="shared" si="20"/>
        <v>Jun</v>
      </c>
      <c r="N654" s="2" t="str">
        <f t="shared" si="21"/>
        <v>medium</v>
      </c>
      <c r="O654" s="2"/>
    </row>
    <row r="655" spans="1:15">
      <c r="A655" t="s">
        <v>713</v>
      </c>
      <c r="B655" s="1">
        <v>45381</v>
      </c>
      <c r="C655" t="s">
        <v>35</v>
      </c>
      <c r="D655" t="s">
        <v>97</v>
      </c>
      <c r="E655" t="s">
        <v>80</v>
      </c>
      <c r="F655">
        <v>6</v>
      </c>
      <c r="G655">
        <v>2555.08</v>
      </c>
      <c r="H655" s="5">
        <v>0.25</v>
      </c>
      <c r="I655" t="s">
        <v>28</v>
      </c>
      <c r="J655" t="s">
        <v>49</v>
      </c>
      <c r="K655" t="s">
        <v>18</v>
      </c>
      <c r="L655">
        <v>11497.86</v>
      </c>
      <c r="M655" s="2" t="str">
        <f t="shared" si="20"/>
        <v>Mar</v>
      </c>
      <c r="N655" s="2" t="str">
        <f t="shared" si="21"/>
        <v>medium</v>
      </c>
      <c r="O655" s="2"/>
    </row>
    <row r="656" spans="1:15">
      <c r="A656" t="s">
        <v>714</v>
      </c>
      <c r="B656" s="1">
        <v>45573</v>
      </c>
      <c r="C656" t="s">
        <v>25</v>
      </c>
      <c r="D656" t="s">
        <v>87</v>
      </c>
      <c r="E656" t="s">
        <v>27</v>
      </c>
      <c r="F656">
        <v>6</v>
      </c>
      <c r="G656">
        <v>7148.47</v>
      </c>
      <c r="H656" s="5">
        <v>0.05</v>
      </c>
      <c r="I656" t="s">
        <v>28</v>
      </c>
      <c r="J656" t="s">
        <v>23</v>
      </c>
      <c r="K656" t="s">
        <v>18</v>
      </c>
      <c r="L656">
        <v>40746.28</v>
      </c>
      <c r="M656" s="2" t="str">
        <f t="shared" si="20"/>
        <v>Oct</v>
      </c>
      <c r="N656" s="2" t="str">
        <f t="shared" si="21"/>
        <v>high</v>
      </c>
      <c r="O656" s="2"/>
    </row>
    <row r="657" spans="1:15">
      <c r="A657" t="s">
        <v>715</v>
      </c>
      <c r="B657" s="1">
        <v>45436</v>
      </c>
      <c r="C657" t="s">
        <v>25</v>
      </c>
      <c r="D657" t="s">
        <v>87</v>
      </c>
      <c r="E657" t="s">
        <v>32</v>
      </c>
      <c r="F657">
        <v>4</v>
      </c>
      <c r="G657">
        <v>6150.84</v>
      </c>
      <c r="H657" s="5">
        <v>0</v>
      </c>
      <c r="I657" t="s">
        <v>28</v>
      </c>
      <c r="J657" t="s">
        <v>49</v>
      </c>
      <c r="K657" t="s">
        <v>33</v>
      </c>
      <c r="L657">
        <v>24603.360000000001</v>
      </c>
      <c r="M657" s="2" t="str">
        <f t="shared" si="20"/>
        <v>May</v>
      </c>
      <c r="N657" s="2" t="str">
        <f t="shared" si="21"/>
        <v>high</v>
      </c>
      <c r="O657" s="2"/>
    </row>
    <row r="658" spans="1:15">
      <c r="A658" t="s">
        <v>716</v>
      </c>
      <c r="B658" s="1">
        <v>45297</v>
      </c>
      <c r="C658" t="s">
        <v>20</v>
      </c>
      <c r="D658" t="s">
        <v>78</v>
      </c>
      <c r="E658" t="s">
        <v>47</v>
      </c>
      <c r="F658">
        <v>3</v>
      </c>
      <c r="G658">
        <v>5874.36</v>
      </c>
      <c r="H658" s="5">
        <v>0.15</v>
      </c>
      <c r="I658" t="s">
        <v>28</v>
      </c>
      <c r="J658" t="s">
        <v>40</v>
      </c>
      <c r="K658" t="s">
        <v>33</v>
      </c>
      <c r="L658">
        <v>14979.62</v>
      </c>
      <c r="M658" s="2" t="str">
        <f t="shared" si="20"/>
        <v>Jan</v>
      </c>
      <c r="N658" s="2" t="str">
        <f t="shared" si="21"/>
        <v>medium</v>
      </c>
      <c r="O658" s="2"/>
    </row>
    <row r="659" spans="1:15">
      <c r="A659" t="s">
        <v>717</v>
      </c>
      <c r="B659" s="1">
        <v>45648</v>
      </c>
      <c r="C659" t="s">
        <v>20</v>
      </c>
      <c r="D659" t="s">
        <v>59</v>
      </c>
      <c r="E659" t="s">
        <v>32</v>
      </c>
      <c r="F659">
        <v>1</v>
      </c>
      <c r="G659">
        <v>1819.12</v>
      </c>
      <c r="H659" s="5">
        <v>0.15</v>
      </c>
      <c r="I659" t="s">
        <v>16</v>
      </c>
      <c r="J659" t="s">
        <v>49</v>
      </c>
      <c r="K659" t="s">
        <v>18</v>
      </c>
      <c r="L659">
        <v>1546.25</v>
      </c>
      <c r="M659" s="2" t="str">
        <f t="shared" si="20"/>
        <v>Dec</v>
      </c>
      <c r="N659" s="2" t="str">
        <f t="shared" si="21"/>
        <v>low</v>
      </c>
      <c r="O659" s="2"/>
    </row>
    <row r="660" spans="1:15">
      <c r="A660" t="s">
        <v>718</v>
      </c>
      <c r="B660" s="1">
        <v>45412</v>
      </c>
      <c r="C660" t="s">
        <v>20</v>
      </c>
      <c r="D660" t="s">
        <v>78</v>
      </c>
      <c r="E660" t="s">
        <v>53</v>
      </c>
      <c r="F660">
        <v>5</v>
      </c>
      <c r="G660">
        <v>5379.35</v>
      </c>
      <c r="H660" s="5">
        <v>0.05</v>
      </c>
      <c r="I660" t="s">
        <v>16</v>
      </c>
      <c r="J660" t="s">
        <v>40</v>
      </c>
      <c r="K660" t="s">
        <v>33</v>
      </c>
      <c r="L660">
        <v>25551.91</v>
      </c>
      <c r="M660" s="2" t="str">
        <f t="shared" si="20"/>
        <v>Apr</v>
      </c>
      <c r="N660" s="2" t="str">
        <f t="shared" si="21"/>
        <v>high</v>
      </c>
      <c r="O660" s="2"/>
    </row>
    <row r="661" spans="1:15">
      <c r="A661" t="s">
        <v>719</v>
      </c>
      <c r="B661" s="1">
        <v>45336</v>
      </c>
      <c r="C661" t="s">
        <v>35</v>
      </c>
      <c r="D661" t="s">
        <v>97</v>
      </c>
      <c r="E661" t="s">
        <v>80</v>
      </c>
      <c r="F661">
        <v>3</v>
      </c>
      <c r="G661">
        <v>6800.2</v>
      </c>
      <c r="H661" s="5">
        <v>0.15</v>
      </c>
      <c r="I661" t="s">
        <v>22</v>
      </c>
      <c r="J661" t="s">
        <v>49</v>
      </c>
      <c r="K661" t="s">
        <v>33</v>
      </c>
      <c r="L661">
        <v>17340.509999999998</v>
      </c>
      <c r="M661" s="2" t="str">
        <f t="shared" si="20"/>
        <v>Feb</v>
      </c>
      <c r="N661" s="2" t="str">
        <f t="shared" si="21"/>
        <v>medium</v>
      </c>
      <c r="O661" s="2"/>
    </row>
    <row r="662" spans="1:15">
      <c r="A662" t="s">
        <v>720</v>
      </c>
      <c r="B662" s="1">
        <v>45300</v>
      </c>
      <c r="C662" t="s">
        <v>20</v>
      </c>
      <c r="D662" t="s">
        <v>61</v>
      </c>
      <c r="E662" t="s">
        <v>27</v>
      </c>
      <c r="F662">
        <v>2</v>
      </c>
      <c r="G662">
        <v>5109.8</v>
      </c>
      <c r="H662" s="5">
        <v>0.1</v>
      </c>
      <c r="I662" t="s">
        <v>22</v>
      </c>
      <c r="J662" t="s">
        <v>40</v>
      </c>
      <c r="K662" t="s">
        <v>33</v>
      </c>
      <c r="L662">
        <v>9197.64</v>
      </c>
      <c r="M662" s="2" t="str">
        <f t="shared" si="20"/>
        <v>Jan</v>
      </c>
      <c r="N662" s="2" t="str">
        <f t="shared" si="21"/>
        <v>low</v>
      </c>
      <c r="O662" s="2"/>
    </row>
    <row r="663" spans="1:15">
      <c r="A663" t="s">
        <v>721</v>
      </c>
      <c r="B663" s="1">
        <v>45541</v>
      </c>
      <c r="C663" t="s">
        <v>13</v>
      </c>
      <c r="D663" t="s">
        <v>70</v>
      </c>
      <c r="E663" t="s">
        <v>27</v>
      </c>
      <c r="F663">
        <v>2</v>
      </c>
      <c r="G663">
        <v>1417.76</v>
      </c>
      <c r="H663" s="5">
        <v>0.25</v>
      </c>
      <c r="I663" t="s">
        <v>28</v>
      </c>
      <c r="J663" t="s">
        <v>49</v>
      </c>
      <c r="K663" t="s">
        <v>18</v>
      </c>
      <c r="L663">
        <v>2126.64</v>
      </c>
      <c r="M663" s="2" t="str">
        <f t="shared" si="20"/>
        <v>Sep</v>
      </c>
      <c r="N663" s="2" t="str">
        <f t="shared" si="21"/>
        <v>low</v>
      </c>
      <c r="O663" s="2"/>
    </row>
    <row r="664" spans="1:15">
      <c r="A664" t="s">
        <v>722</v>
      </c>
      <c r="B664" s="1">
        <v>45532</v>
      </c>
      <c r="C664" t="s">
        <v>35</v>
      </c>
      <c r="D664" t="s">
        <v>36</v>
      </c>
      <c r="E664" t="s">
        <v>44</v>
      </c>
      <c r="F664">
        <v>6</v>
      </c>
      <c r="G664">
        <v>6127.65</v>
      </c>
      <c r="H664" s="5">
        <v>0.25</v>
      </c>
      <c r="I664" t="s">
        <v>16</v>
      </c>
      <c r="J664" t="s">
        <v>40</v>
      </c>
      <c r="K664" t="s">
        <v>33</v>
      </c>
      <c r="L664">
        <v>27574.42</v>
      </c>
      <c r="M664" s="2" t="str">
        <f t="shared" si="20"/>
        <v>Aug</v>
      </c>
      <c r="N664" s="2" t="str">
        <f t="shared" si="21"/>
        <v>high</v>
      </c>
      <c r="O664" s="2"/>
    </row>
    <row r="665" spans="1:15">
      <c r="A665" t="s">
        <v>723</v>
      </c>
      <c r="B665" s="1">
        <v>45419</v>
      </c>
      <c r="C665" t="s">
        <v>35</v>
      </c>
      <c r="D665" t="s">
        <v>68</v>
      </c>
      <c r="E665" t="s">
        <v>27</v>
      </c>
      <c r="F665">
        <v>1</v>
      </c>
      <c r="G665">
        <v>6444.59</v>
      </c>
      <c r="H665" s="5">
        <v>0.1</v>
      </c>
      <c r="I665" t="s">
        <v>55</v>
      </c>
      <c r="J665" t="s">
        <v>29</v>
      </c>
      <c r="K665" t="s">
        <v>33</v>
      </c>
      <c r="L665">
        <v>5800.13</v>
      </c>
      <c r="M665" s="2" t="str">
        <f t="shared" si="20"/>
        <v>May</v>
      </c>
      <c r="N665" s="2" t="str">
        <f t="shared" si="21"/>
        <v>low</v>
      </c>
      <c r="O665" s="2"/>
    </row>
    <row r="666" spans="1:15">
      <c r="A666" t="s">
        <v>724</v>
      </c>
      <c r="B666" s="1">
        <v>45557</v>
      </c>
      <c r="C666" t="s">
        <v>25</v>
      </c>
      <c r="D666" t="s">
        <v>87</v>
      </c>
      <c r="E666" t="s">
        <v>44</v>
      </c>
      <c r="F666">
        <v>5</v>
      </c>
      <c r="G666">
        <v>4376.6000000000004</v>
      </c>
      <c r="H666" s="5">
        <v>0.1</v>
      </c>
      <c r="I666" t="s">
        <v>55</v>
      </c>
      <c r="J666" t="s">
        <v>49</v>
      </c>
      <c r="K666" t="s">
        <v>33</v>
      </c>
      <c r="L666">
        <v>19694.7</v>
      </c>
      <c r="M666" s="2" t="str">
        <f t="shared" si="20"/>
        <v>Sep</v>
      </c>
      <c r="N666" s="2" t="str">
        <f t="shared" si="21"/>
        <v>medium</v>
      </c>
      <c r="O666" s="2"/>
    </row>
    <row r="667" spans="1:15">
      <c r="A667" t="s">
        <v>725</v>
      </c>
      <c r="B667" s="1">
        <v>45443</v>
      </c>
      <c r="C667" t="s">
        <v>25</v>
      </c>
      <c r="D667" t="s">
        <v>31</v>
      </c>
      <c r="E667" t="s">
        <v>44</v>
      </c>
      <c r="F667">
        <v>4</v>
      </c>
      <c r="G667">
        <v>1764.73</v>
      </c>
      <c r="H667" s="5">
        <v>0.25</v>
      </c>
      <c r="I667" t="s">
        <v>16</v>
      </c>
      <c r="J667" t="s">
        <v>49</v>
      </c>
      <c r="K667" t="s">
        <v>33</v>
      </c>
      <c r="L667">
        <v>5294.19</v>
      </c>
      <c r="M667" s="2" t="str">
        <f t="shared" si="20"/>
        <v>May</v>
      </c>
      <c r="N667" s="2" t="str">
        <f t="shared" si="21"/>
        <v>low</v>
      </c>
      <c r="O667" s="2"/>
    </row>
    <row r="668" spans="1:15">
      <c r="A668" t="s">
        <v>726</v>
      </c>
      <c r="B668" s="1">
        <v>45482</v>
      </c>
      <c r="C668" t="s">
        <v>20</v>
      </c>
      <c r="D668" t="s">
        <v>59</v>
      </c>
      <c r="E668" t="s">
        <v>15</v>
      </c>
      <c r="F668">
        <v>5</v>
      </c>
      <c r="G668">
        <v>3685.31</v>
      </c>
      <c r="H668" s="5">
        <v>0.15</v>
      </c>
      <c r="I668" t="s">
        <v>22</v>
      </c>
      <c r="J668" t="s">
        <v>40</v>
      </c>
      <c r="K668" t="s">
        <v>33</v>
      </c>
      <c r="L668">
        <v>15662.57</v>
      </c>
      <c r="M668" s="2" t="str">
        <f t="shared" si="20"/>
        <v>Jul</v>
      </c>
      <c r="N668" s="2" t="str">
        <f t="shared" si="21"/>
        <v>medium</v>
      </c>
      <c r="O668" s="2"/>
    </row>
    <row r="669" spans="1:15">
      <c r="A669" t="s">
        <v>727</v>
      </c>
      <c r="B669" s="1">
        <v>45561</v>
      </c>
      <c r="C669" t="s">
        <v>25</v>
      </c>
      <c r="D669" t="s">
        <v>26</v>
      </c>
      <c r="E669" t="s">
        <v>80</v>
      </c>
      <c r="F669">
        <v>1</v>
      </c>
      <c r="G669">
        <v>5851.44</v>
      </c>
      <c r="H669" s="5">
        <v>0</v>
      </c>
      <c r="I669" t="s">
        <v>16</v>
      </c>
      <c r="J669" t="s">
        <v>29</v>
      </c>
      <c r="K669" t="s">
        <v>33</v>
      </c>
      <c r="L669">
        <v>5851.44</v>
      </c>
      <c r="M669" s="2" t="str">
        <f t="shared" si="20"/>
        <v>Sep</v>
      </c>
      <c r="N669" s="2" t="str">
        <f t="shared" si="21"/>
        <v>low</v>
      </c>
      <c r="O669" s="2"/>
    </row>
    <row r="670" spans="1:15">
      <c r="A670" t="s">
        <v>728</v>
      </c>
      <c r="B670" s="1">
        <v>45339</v>
      </c>
      <c r="C670" t="s">
        <v>25</v>
      </c>
      <c r="D670" t="s">
        <v>26</v>
      </c>
      <c r="E670" t="s">
        <v>47</v>
      </c>
      <c r="F670">
        <v>2</v>
      </c>
      <c r="G670">
        <v>7337.74</v>
      </c>
      <c r="H670" s="5">
        <v>0</v>
      </c>
      <c r="I670" t="s">
        <v>16</v>
      </c>
      <c r="J670" t="s">
        <v>23</v>
      </c>
      <c r="K670" t="s">
        <v>33</v>
      </c>
      <c r="L670">
        <v>14675.48</v>
      </c>
      <c r="M670" s="2" t="str">
        <f t="shared" si="20"/>
        <v>Feb</v>
      </c>
      <c r="N670" s="2" t="str">
        <f t="shared" si="21"/>
        <v>medium</v>
      </c>
      <c r="O670" s="2"/>
    </row>
    <row r="671" spans="1:15">
      <c r="A671" t="s">
        <v>729</v>
      </c>
      <c r="B671" s="1">
        <v>45607</v>
      </c>
      <c r="C671" t="s">
        <v>13</v>
      </c>
      <c r="D671" t="s">
        <v>70</v>
      </c>
      <c r="E671" t="s">
        <v>32</v>
      </c>
      <c r="F671">
        <v>5</v>
      </c>
      <c r="G671">
        <v>3189.09</v>
      </c>
      <c r="H671" s="5">
        <v>0.1</v>
      </c>
      <c r="I671" t="s">
        <v>16</v>
      </c>
      <c r="J671" t="s">
        <v>40</v>
      </c>
      <c r="K671" t="s">
        <v>33</v>
      </c>
      <c r="L671">
        <v>14350.91</v>
      </c>
      <c r="M671" s="2" t="str">
        <f t="shared" si="20"/>
        <v>Nov</v>
      </c>
      <c r="N671" s="2" t="str">
        <f t="shared" si="21"/>
        <v>medium</v>
      </c>
      <c r="O671" s="2"/>
    </row>
    <row r="672" spans="1:15">
      <c r="A672" t="s">
        <v>730</v>
      </c>
      <c r="B672" s="1">
        <v>45439</v>
      </c>
      <c r="C672" t="s">
        <v>25</v>
      </c>
      <c r="D672" t="s">
        <v>94</v>
      </c>
      <c r="E672" t="s">
        <v>53</v>
      </c>
      <c r="F672">
        <v>5</v>
      </c>
      <c r="G672">
        <v>3047.19</v>
      </c>
      <c r="H672" s="5">
        <v>0.15</v>
      </c>
      <c r="I672" t="s">
        <v>22</v>
      </c>
      <c r="J672" t="s">
        <v>17</v>
      </c>
      <c r="K672" t="s">
        <v>33</v>
      </c>
      <c r="L672">
        <v>12950.56</v>
      </c>
      <c r="M672" s="2" t="str">
        <f t="shared" si="20"/>
        <v>May</v>
      </c>
      <c r="N672" s="2" t="str">
        <f t="shared" si="21"/>
        <v>medium</v>
      </c>
      <c r="O672" s="2"/>
    </row>
    <row r="673" spans="1:15">
      <c r="A673" t="s">
        <v>731</v>
      </c>
      <c r="B673" s="1">
        <v>45436</v>
      </c>
      <c r="C673" t="s">
        <v>38</v>
      </c>
      <c r="D673" t="s">
        <v>164</v>
      </c>
      <c r="E673" t="s">
        <v>44</v>
      </c>
      <c r="F673">
        <v>3</v>
      </c>
      <c r="G673">
        <v>2307.48</v>
      </c>
      <c r="H673" s="5">
        <v>0.05</v>
      </c>
      <c r="I673" t="s">
        <v>22</v>
      </c>
      <c r="J673" t="s">
        <v>29</v>
      </c>
      <c r="K673" t="s">
        <v>18</v>
      </c>
      <c r="L673">
        <v>6576.32</v>
      </c>
      <c r="M673" s="2" t="str">
        <f t="shared" si="20"/>
        <v>May</v>
      </c>
      <c r="N673" s="2" t="str">
        <f t="shared" si="21"/>
        <v>low</v>
      </c>
      <c r="O673" s="2"/>
    </row>
    <row r="674" spans="1:15">
      <c r="A674" t="s">
        <v>732</v>
      </c>
      <c r="B674" s="1">
        <v>45447</v>
      </c>
      <c r="C674" t="s">
        <v>25</v>
      </c>
      <c r="D674" t="s">
        <v>46</v>
      </c>
      <c r="E674" t="s">
        <v>27</v>
      </c>
      <c r="F674">
        <v>4</v>
      </c>
      <c r="G674">
        <v>672.14</v>
      </c>
      <c r="H674" s="5">
        <v>0.1</v>
      </c>
      <c r="I674" t="s">
        <v>16</v>
      </c>
      <c r="J674" t="s">
        <v>23</v>
      </c>
      <c r="K674" t="s">
        <v>18</v>
      </c>
      <c r="L674">
        <v>2419.6999999999998</v>
      </c>
      <c r="M674" s="2" t="str">
        <f t="shared" si="20"/>
        <v>Jun</v>
      </c>
      <c r="N674" s="2" t="str">
        <f t="shared" si="21"/>
        <v>low</v>
      </c>
      <c r="O674" s="2"/>
    </row>
    <row r="675" spans="1:15">
      <c r="A675" t="s">
        <v>733</v>
      </c>
      <c r="B675" s="1">
        <v>45362</v>
      </c>
      <c r="C675" t="s">
        <v>25</v>
      </c>
      <c r="D675" t="s">
        <v>46</v>
      </c>
      <c r="E675" t="s">
        <v>53</v>
      </c>
      <c r="F675">
        <v>1</v>
      </c>
      <c r="G675">
        <v>5636.74</v>
      </c>
      <c r="H675" s="5">
        <v>0</v>
      </c>
      <c r="I675" t="s">
        <v>28</v>
      </c>
      <c r="J675" t="s">
        <v>17</v>
      </c>
      <c r="K675" t="s">
        <v>18</v>
      </c>
      <c r="L675">
        <v>5636.74</v>
      </c>
      <c r="M675" s="2" t="str">
        <f t="shared" si="20"/>
        <v>Mar</v>
      </c>
      <c r="N675" s="2" t="str">
        <f t="shared" si="21"/>
        <v>low</v>
      </c>
      <c r="O675" s="2"/>
    </row>
    <row r="676" spans="1:15">
      <c r="A676" t="s">
        <v>734</v>
      </c>
      <c r="B676" s="1">
        <v>45478</v>
      </c>
      <c r="C676" t="s">
        <v>38</v>
      </c>
      <c r="D676" t="s">
        <v>42</v>
      </c>
      <c r="E676" t="s">
        <v>53</v>
      </c>
      <c r="F676">
        <v>2</v>
      </c>
      <c r="G676">
        <v>1143.6300000000001</v>
      </c>
      <c r="H676" s="5">
        <v>0</v>
      </c>
      <c r="I676" t="s">
        <v>28</v>
      </c>
      <c r="J676" t="s">
        <v>17</v>
      </c>
      <c r="K676" t="s">
        <v>33</v>
      </c>
      <c r="L676">
        <v>2287.2600000000002</v>
      </c>
      <c r="M676" s="2" t="str">
        <f t="shared" si="20"/>
        <v>Jul</v>
      </c>
      <c r="N676" s="2" t="str">
        <f t="shared" si="21"/>
        <v>low</v>
      </c>
      <c r="O676" s="2"/>
    </row>
    <row r="677" spans="1:15">
      <c r="A677" t="s">
        <v>735</v>
      </c>
      <c r="B677" s="1">
        <v>45489</v>
      </c>
      <c r="C677" t="s">
        <v>38</v>
      </c>
      <c r="D677" t="s">
        <v>39</v>
      </c>
      <c r="E677" t="s">
        <v>1160</v>
      </c>
      <c r="F677">
        <v>6</v>
      </c>
      <c r="G677">
        <v>5273.58</v>
      </c>
      <c r="H677" s="5">
        <v>0.05</v>
      </c>
      <c r="I677" t="s">
        <v>16</v>
      </c>
      <c r="J677" t="s">
        <v>49</v>
      </c>
      <c r="K677" t="s">
        <v>33</v>
      </c>
      <c r="L677">
        <v>30059.41</v>
      </c>
      <c r="M677" s="2" t="str">
        <f t="shared" si="20"/>
        <v>Jul</v>
      </c>
      <c r="N677" s="2" t="str">
        <f t="shared" si="21"/>
        <v>high</v>
      </c>
      <c r="O677" s="2"/>
    </row>
    <row r="678" spans="1:15">
      <c r="A678" t="s">
        <v>736</v>
      </c>
      <c r="B678" s="1">
        <v>45434</v>
      </c>
      <c r="C678" t="s">
        <v>25</v>
      </c>
      <c r="D678" t="s">
        <v>94</v>
      </c>
      <c r="E678" t="s">
        <v>27</v>
      </c>
      <c r="F678">
        <v>2</v>
      </c>
      <c r="G678">
        <v>4202.76</v>
      </c>
      <c r="H678" s="5">
        <v>0.1</v>
      </c>
      <c r="I678" t="s">
        <v>55</v>
      </c>
      <c r="J678" t="s">
        <v>23</v>
      </c>
      <c r="K678" t="s">
        <v>18</v>
      </c>
      <c r="L678">
        <v>7564.97</v>
      </c>
      <c r="M678" s="2" t="str">
        <f t="shared" si="20"/>
        <v>May</v>
      </c>
      <c r="N678" s="2" t="str">
        <f t="shared" si="21"/>
        <v>low</v>
      </c>
      <c r="O678" s="2"/>
    </row>
    <row r="679" spans="1:15">
      <c r="A679" t="s">
        <v>737</v>
      </c>
      <c r="B679" s="1">
        <v>45295</v>
      </c>
      <c r="C679" t="s">
        <v>38</v>
      </c>
      <c r="D679" t="s">
        <v>51</v>
      </c>
      <c r="E679" t="s">
        <v>44</v>
      </c>
      <c r="F679">
        <v>5</v>
      </c>
      <c r="G679">
        <v>216.55</v>
      </c>
      <c r="H679" s="5">
        <v>0</v>
      </c>
      <c r="I679" t="s">
        <v>22</v>
      </c>
      <c r="J679" t="s">
        <v>23</v>
      </c>
      <c r="K679" t="s">
        <v>33</v>
      </c>
      <c r="L679">
        <v>1082.75</v>
      </c>
      <c r="M679" s="2" t="str">
        <f t="shared" si="20"/>
        <v>Jan</v>
      </c>
      <c r="N679" s="2" t="str">
        <f t="shared" si="21"/>
        <v>low</v>
      </c>
      <c r="O679" s="2"/>
    </row>
    <row r="680" spans="1:15">
      <c r="A680" t="s">
        <v>738</v>
      </c>
      <c r="B680" s="1">
        <v>45451</v>
      </c>
      <c r="C680" t="s">
        <v>13</v>
      </c>
      <c r="D680" t="s">
        <v>74</v>
      </c>
      <c r="E680" t="s">
        <v>1160</v>
      </c>
      <c r="F680">
        <v>3</v>
      </c>
      <c r="G680">
        <v>4351.16</v>
      </c>
      <c r="H680" s="5">
        <v>0.15</v>
      </c>
      <c r="I680" t="s">
        <v>16</v>
      </c>
      <c r="J680" t="s">
        <v>40</v>
      </c>
      <c r="K680" t="s">
        <v>33</v>
      </c>
      <c r="L680">
        <v>11095.46</v>
      </c>
      <c r="M680" s="2" t="str">
        <f t="shared" si="20"/>
        <v>Jun</v>
      </c>
      <c r="N680" s="2" t="str">
        <f t="shared" si="21"/>
        <v>medium</v>
      </c>
      <c r="O680" s="2"/>
    </row>
    <row r="681" spans="1:15">
      <c r="A681" t="s">
        <v>739</v>
      </c>
      <c r="B681" s="1">
        <v>45516</v>
      </c>
      <c r="C681" t="s">
        <v>20</v>
      </c>
      <c r="D681" t="s">
        <v>78</v>
      </c>
      <c r="E681" t="s">
        <v>15</v>
      </c>
      <c r="F681">
        <v>3</v>
      </c>
      <c r="G681">
        <v>2993.34</v>
      </c>
      <c r="H681" s="5">
        <v>0.2</v>
      </c>
      <c r="I681" t="s">
        <v>55</v>
      </c>
      <c r="J681" t="s">
        <v>40</v>
      </c>
      <c r="K681" t="s">
        <v>18</v>
      </c>
      <c r="L681">
        <v>7184.02</v>
      </c>
      <c r="M681" s="2" t="str">
        <f t="shared" si="20"/>
        <v>Aug</v>
      </c>
      <c r="N681" s="2" t="str">
        <f t="shared" si="21"/>
        <v>low</v>
      </c>
      <c r="O681" s="2"/>
    </row>
    <row r="682" spans="1:15">
      <c r="A682" t="s">
        <v>740</v>
      </c>
      <c r="B682" s="1">
        <v>45382</v>
      </c>
      <c r="C682" t="s">
        <v>20</v>
      </c>
      <c r="D682" t="s">
        <v>59</v>
      </c>
      <c r="E682" t="s">
        <v>80</v>
      </c>
      <c r="F682">
        <v>6</v>
      </c>
      <c r="G682">
        <v>3887.97</v>
      </c>
      <c r="H682" s="5">
        <v>0.05</v>
      </c>
      <c r="I682" t="s">
        <v>22</v>
      </c>
      <c r="J682" t="s">
        <v>29</v>
      </c>
      <c r="K682" t="s">
        <v>33</v>
      </c>
      <c r="L682">
        <v>22161.43</v>
      </c>
      <c r="M682" s="2" t="str">
        <f t="shared" si="20"/>
        <v>Mar</v>
      </c>
      <c r="N682" s="2" t="str">
        <f t="shared" si="21"/>
        <v>high</v>
      </c>
      <c r="O682" s="2"/>
    </row>
    <row r="683" spans="1:15">
      <c r="A683" t="s">
        <v>741</v>
      </c>
      <c r="B683" s="1">
        <v>45427</v>
      </c>
      <c r="C683" t="s">
        <v>35</v>
      </c>
      <c r="D683" t="s">
        <v>63</v>
      </c>
      <c r="E683" t="s">
        <v>27</v>
      </c>
      <c r="F683">
        <v>2</v>
      </c>
      <c r="G683">
        <v>5616.65</v>
      </c>
      <c r="H683" s="5">
        <v>0.05</v>
      </c>
      <c r="I683" t="s">
        <v>16</v>
      </c>
      <c r="J683" t="s">
        <v>29</v>
      </c>
      <c r="K683" t="s">
        <v>33</v>
      </c>
      <c r="L683">
        <v>10671.63</v>
      </c>
      <c r="M683" s="2" t="str">
        <f t="shared" si="20"/>
        <v>May</v>
      </c>
      <c r="N683" s="2" t="str">
        <f t="shared" si="21"/>
        <v>medium</v>
      </c>
      <c r="O683" s="2"/>
    </row>
    <row r="684" spans="1:15">
      <c r="A684" t="s">
        <v>742</v>
      </c>
      <c r="B684" s="1">
        <v>45408</v>
      </c>
      <c r="C684" t="s">
        <v>20</v>
      </c>
      <c r="D684" t="s">
        <v>57</v>
      </c>
      <c r="E684" t="s">
        <v>53</v>
      </c>
      <c r="F684">
        <v>6</v>
      </c>
      <c r="G684">
        <v>6327.5</v>
      </c>
      <c r="H684" s="5">
        <v>0.05</v>
      </c>
      <c r="I684" t="s">
        <v>16</v>
      </c>
      <c r="J684" t="s">
        <v>23</v>
      </c>
      <c r="K684" t="s">
        <v>33</v>
      </c>
      <c r="L684">
        <v>36066.75</v>
      </c>
      <c r="M684" s="2" t="str">
        <f t="shared" si="20"/>
        <v>Apr</v>
      </c>
      <c r="N684" s="2" t="str">
        <f t="shared" si="21"/>
        <v>high</v>
      </c>
      <c r="O684" s="2"/>
    </row>
    <row r="685" spans="1:15">
      <c r="A685" t="s">
        <v>743</v>
      </c>
      <c r="B685" s="1">
        <v>45438</v>
      </c>
      <c r="C685" t="s">
        <v>20</v>
      </c>
      <c r="D685" t="s">
        <v>21</v>
      </c>
      <c r="E685" t="s">
        <v>53</v>
      </c>
      <c r="F685">
        <v>2</v>
      </c>
      <c r="G685">
        <v>7771.28</v>
      </c>
      <c r="H685" s="5">
        <v>0.05</v>
      </c>
      <c r="I685" t="s">
        <v>22</v>
      </c>
      <c r="J685" t="s">
        <v>40</v>
      </c>
      <c r="K685" t="s">
        <v>33</v>
      </c>
      <c r="L685">
        <v>14765.43</v>
      </c>
      <c r="M685" s="2" t="str">
        <f t="shared" si="20"/>
        <v>May</v>
      </c>
      <c r="N685" s="2" t="str">
        <f t="shared" si="21"/>
        <v>medium</v>
      </c>
      <c r="O685" s="2"/>
    </row>
    <row r="686" spans="1:15">
      <c r="A686" t="s">
        <v>744</v>
      </c>
      <c r="B686" s="1">
        <v>45342</v>
      </c>
      <c r="C686" t="s">
        <v>13</v>
      </c>
      <c r="D686" t="s">
        <v>76</v>
      </c>
      <c r="E686" t="s">
        <v>32</v>
      </c>
      <c r="F686">
        <v>5</v>
      </c>
      <c r="G686">
        <v>5827.23</v>
      </c>
      <c r="H686" s="5">
        <v>0.1</v>
      </c>
      <c r="I686" t="s">
        <v>55</v>
      </c>
      <c r="J686" t="s">
        <v>23</v>
      </c>
      <c r="K686" t="s">
        <v>33</v>
      </c>
      <c r="L686">
        <v>26222.53</v>
      </c>
      <c r="M686" s="2" t="str">
        <f t="shared" si="20"/>
        <v>Feb</v>
      </c>
      <c r="N686" s="2" t="str">
        <f t="shared" si="21"/>
        <v>high</v>
      </c>
      <c r="O686" s="2"/>
    </row>
    <row r="687" spans="1:15">
      <c r="A687" t="s">
        <v>745</v>
      </c>
      <c r="B687" s="1">
        <v>45423</v>
      </c>
      <c r="C687" t="s">
        <v>35</v>
      </c>
      <c r="D687" t="s">
        <v>36</v>
      </c>
      <c r="E687" t="s">
        <v>44</v>
      </c>
      <c r="F687">
        <v>2</v>
      </c>
      <c r="G687">
        <v>6152.18</v>
      </c>
      <c r="H687" s="5">
        <v>0</v>
      </c>
      <c r="I687" t="s">
        <v>16</v>
      </c>
      <c r="J687" t="s">
        <v>23</v>
      </c>
      <c r="K687" t="s">
        <v>33</v>
      </c>
      <c r="L687">
        <v>12304.36</v>
      </c>
      <c r="M687" s="2" t="str">
        <f t="shared" si="20"/>
        <v>May</v>
      </c>
      <c r="N687" s="2" t="str">
        <f t="shared" si="21"/>
        <v>medium</v>
      </c>
      <c r="O687" s="2"/>
    </row>
    <row r="688" spans="1:15">
      <c r="A688" t="s">
        <v>746</v>
      </c>
      <c r="B688" s="1">
        <v>45624</v>
      </c>
      <c r="C688" t="s">
        <v>25</v>
      </c>
      <c r="D688" t="s">
        <v>26</v>
      </c>
      <c r="E688" t="s">
        <v>15</v>
      </c>
      <c r="F688">
        <v>6</v>
      </c>
      <c r="G688">
        <v>4198.07</v>
      </c>
      <c r="H688" s="5">
        <v>0.25</v>
      </c>
      <c r="I688" t="s">
        <v>16</v>
      </c>
      <c r="J688" t="s">
        <v>40</v>
      </c>
      <c r="K688" t="s">
        <v>33</v>
      </c>
      <c r="L688">
        <v>18891.310000000001</v>
      </c>
      <c r="M688" s="2" t="str">
        <f t="shared" si="20"/>
        <v>Nov</v>
      </c>
      <c r="N688" s="2" t="str">
        <f t="shared" si="21"/>
        <v>medium</v>
      </c>
      <c r="O688" s="2"/>
    </row>
    <row r="689" spans="1:15">
      <c r="A689" t="s">
        <v>747</v>
      </c>
      <c r="B689" s="1">
        <v>45406</v>
      </c>
      <c r="C689" t="s">
        <v>13</v>
      </c>
      <c r="D689" t="s">
        <v>14</v>
      </c>
      <c r="E689" t="s">
        <v>44</v>
      </c>
      <c r="F689">
        <v>5</v>
      </c>
      <c r="G689">
        <v>1135.1300000000001</v>
      </c>
      <c r="H689" s="5">
        <v>0.1</v>
      </c>
      <c r="I689" t="s">
        <v>22</v>
      </c>
      <c r="J689" t="s">
        <v>49</v>
      </c>
      <c r="K689" t="s">
        <v>33</v>
      </c>
      <c r="L689">
        <v>5108.09</v>
      </c>
      <c r="M689" s="2" t="str">
        <f t="shared" si="20"/>
        <v>Apr</v>
      </c>
      <c r="N689" s="2" t="str">
        <f t="shared" si="21"/>
        <v>low</v>
      </c>
      <c r="O689" s="2"/>
    </row>
    <row r="690" spans="1:15">
      <c r="A690" t="s">
        <v>748</v>
      </c>
      <c r="B690" s="1">
        <v>45307</v>
      </c>
      <c r="C690" t="s">
        <v>35</v>
      </c>
      <c r="D690" t="s">
        <v>97</v>
      </c>
      <c r="E690" t="s">
        <v>53</v>
      </c>
      <c r="F690">
        <v>5</v>
      </c>
      <c r="G690">
        <v>1584.69</v>
      </c>
      <c r="H690" s="5">
        <v>0.1</v>
      </c>
      <c r="I690" t="s">
        <v>22</v>
      </c>
      <c r="J690" t="s">
        <v>23</v>
      </c>
      <c r="K690" t="s">
        <v>33</v>
      </c>
      <c r="L690">
        <v>7131.11</v>
      </c>
      <c r="M690" s="2" t="str">
        <f t="shared" si="20"/>
        <v>Jan</v>
      </c>
      <c r="N690" s="2" t="str">
        <f t="shared" si="21"/>
        <v>low</v>
      </c>
      <c r="O690" s="2"/>
    </row>
    <row r="691" spans="1:15">
      <c r="A691" t="s">
        <v>749</v>
      </c>
      <c r="B691" s="1">
        <v>45653</v>
      </c>
      <c r="C691" t="s">
        <v>20</v>
      </c>
      <c r="D691" t="s">
        <v>21</v>
      </c>
      <c r="E691" t="s">
        <v>27</v>
      </c>
      <c r="F691">
        <v>6</v>
      </c>
      <c r="G691">
        <v>6196.36</v>
      </c>
      <c r="H691" s="5">
        <v>0.1</v>
      </c>
      <c r="I691" t="s">
        <v>55</v>
      </c>
      <c r="J691" t="s">
        <v>29</v>
      </c>
      <c r="K691" t="s">
        <v>18</v>
      </c>
      <c r="L691">
        <v>33460.339999999997</v>
      </c>
      <c r="M691" s="2" t="str">
        <f t="shared" si="20"/>
        <v>Dec</v>
      </c>
      <c r="N691" s="2" t="str">
        <f t="shared" si="21"/>
        <v>high</v>
      </c>
      <c r="O691" s="2"/>
    </row>
    <row r="692" spans="1:15">
      <c r="A692" t="s">
        <v>750</v>
      </c>
      <c r="B692" s="1">
        <v>45436</v>
      </c>
      <c r="C692" t="s">
        <v>35</v>
      </c>
      <c r="D692" t="s">
        <v>97</v>
      </c>
      <c r="E692" t="s">
        <v>53</v>
      </c>
      <c r="F692">
        <v>4</v>
      </c>
      <c r="G692">
        <v>5825.06</v>
      </c>
      <c r="H692" s="5">
        <v>0</v>
      </c>
      <c r="I692" t="s">
        <v>16</v>
      </c>
      <c r="J692" t="s">
        <v>49</v>
      </c>
      <c r="K692" t="s">
        <v>33</v>
      </c>
      <c r="L692">
        <v>23300.240000000002</v>
      </c>
      <c r="M692" s="2" t="str">
        <f t="shared" si="20"/>
        <v>May</v>
      </c>
      <c r="N692" s="2" t="str">
        <f t="shared" si="21"/>
        <v>high</v>
      </c>
      <c r="O692" s="2"/>
    </row>
    <row r="693" spans="1:15">
      <c r="A693" t="s">
        <v>751</v>
      </c>
      <c r="B693" s="1">
        <v>45382</v>
      </c>
      <c r="C693" t="s">
        <v>25</v>
      </c>
      <c r="D693" t="s">
        <v>26</v>
      </c>
      <c r="E693" t="s">
        <v>47</v>
      </c>
      <c r="F693">
        <v>2</v>
      </c>
      <c r="G693">
        <v>7005.48</v>
      </c>
      <c r="H693" s="5">
        <v>0.05</v>
      </c>
      <c r="I693" t="s">
        <v>22</v>
      </c>
      <c r="J693" t="s">
        <v>40</v>
      </c>
      <c r="K693" t="s">
        <v>18</v>
      </c>
      <c r="L693">
        <v>13310.41</v>
      </c>
      <c r="M693" s="2" t="str">
        <f t="shared" si="20"/>
        <v>Mar</v>
      </c>
      <c r="N693" s="2" t="str">
        <f t="shared" si="21"/>
        <v>medium</v>
      </c>
      <c r="O693" s="2"/>
    </row>
    <row r="694" spans="1:15">
      <c r="A694" t="s">
        <v>752</v>
      </c>
      <c r="B694" s="1">
        <v>45351</v>
      </c>
      <c r="C694" t="s">
        <v>38</v>
      </c>
      <c r="D694" t="s">
        <v>42</v>
      </c>
      <c r="E694" t="s">
        <v>32</v>
      </c>
      <c r="F694">
        <v>2</v>
      </c>
      <c r="G694">
        <v>7476.44</v>
      </c>
      <c r="H694" s="5">
        <v>0.05</v>
      </c>
      <c r="I694" t="s">
        <v>16</v>
      </c>
      <c r="J694" t="s">
        <v>49</v>
      </c>
      <c r="K694" t="s">
        <v>18</v>
      </c>
      <c r="L694">
        <v>14205.24</v>
      </c>
      <c r="M694" s="2" t="str">
        <f t="shared" si="20"/>
        <v>Feb</v>
      </c>
      <c r="N694" s="2" t="str">
        <f t="shared" si="21"/>
        <v>medium</v>
      </c>
      <c r="O694" s="2"/>
    </row>
    <row r="695" spans="1:15">
      <c r="A695" t="s">
        <v>753</v>
      </c>
      <c r="B695" s="1">
        <v>45312</v>
      </c>
      <c r="C695" t="s">
        <v>20</v>
      </c>
      <c r="D695" t="s">
        <v>61</v>
      </c>
      <c r="E695" t="s">
        <v>15</v>
      </c>
      <c r="F695">
        <v>1</v>
      </c>
      <c r="G695">
        <v>4696.42</v>
      </c>
      <c r="H695" s="5">
        <v>0.15</v>
      </c>
      <c r="I695" t="s">
        <v>16</v>
      </c>
      <c r="J695" t="s">
        <v>40</v>
      </c>
      <c r="K695" t="s">
        <v>33</v>
      </c>
      <c r="L695">
        <v>3991.96</v>
      </c>
      <c r="M695" s="2" t="str">
        <f t="shared" si="20"/>
        <v>Jan</v>
      </c>
      <c r="N695" s="2" t="str">
        <f t="shared" si="21"/>
        <v>low</v>
      </c>
      <c r="O695" s="2"/>
    </row>
    <row r="696" spans="1:15">
      <c r="A696" t="s">
        <v>754</v>
      </c>
      <c r="B696" s="1">
        <v>45421</v>
      </c>
      <c r="C696" t="s">
        <v>35</v>
      </c>
      <c r="D696" t="s">
        <v>63</v>
      </c>
      <c r="E696" t="s">
        <v>80</v>
      </c>
      <c r="F696">
        <v>6</v>
      </c>
      <c r="G696">
        <v>343.63</v>
      </c>
      <c r="H696" s="5">
        <v>0.25</v>
      </c>
      <c r="I696" t="s">
        <v>16</v>
      </c>
      <c r="J696" t="s">
        <v>17</v>
      </c>
      <c r="K696" t="s">
        <v>18</v>
      </c>
      <c r="L696">
        <v>1546.33</v>
      </c>
      <c r="M696" s="2" t="str">
        <f t="shared" si="20"/>
        <v>May</v>
      </c>
      <c r="N696" s="2" t="str">
        <f t="shared" si="21"/>
        <v>low</v>
      </c>
      <c r="O696" s="2"/>
    </row>
    <row r="697" spans="1:15">
      <c r="A697" t="s">
        <v>755</v>
      </c>
      <c r="B697" s="1">
        <v>45496</v>
      </c>
      <c r="C697" t="s">
        <v>38</v>
      </c>
      <c r="D697" t="s">
        <v>164</v>
      </c>
      <c r="E697" t="s">
        <v>53</v>
      </c>
      <c r="F697">
        <v>5</v>
      </c>
      <c r="G697">
        <v>4667.88</v>
      </c>
      <c r="H697" s="5">
        <v>0.1</v>
      </c>
      <c r="I697" t="s">
        <v>55</v>
      </c>
      <c r="J697" t="s">
        <v>49</v>
      </c>
      <c r="K697" t="s">
        <v>33</v>
      </c>
      <c r="L697">
        <v>21005.46</v>
      </c>
      <c r="M697" s="2" t="str">
        <f t="shared" si="20"/>
        <v>Jul</v>
      </c>
      <c r="N697" s="2" t="str">
        <f t="shared" si="21"/>
        <v>high</v>
      </c>
      <c r="O697" s="2"/>
    </row>
    <row r="698" spans="1:15">
      <c r="A698" t="s">
        <v>756</v>
      </c>
      <c r="B698" s="1">
        <v>45381</v>
      </c>
      <c r="C698" t="s">
        <v>35</v>
      </c>
      <c r="D698" t="s">
        <v>36</v>
      </c>
      <c r="E698" t="s">
        <v>1160</v>
      </c>
      <c r="F698">
        <v>3</v>
      </c>
      <c r="G698">
        <v>2914.01</v>
      </c>
      <c r="H698" s="5">
        <v>0</v>
      </c>
      <c r="I698" t="s">
        <v>16</v>
      </c>
      <c r="J698" t="s">
        <v>49</v>
      </c>
      <c r="K698" t="s">
        <v>18</v>
      </c>
      <c r="L698">
        <v>8742.0300000000007</v>
      </c>
      <c r="M698" s="2" t="str">
        <f t="shared" si="20"/>
        <v>Mar</v>
      </c>
      <c r="N698" s="2" t="str">
        <f t="shared" si="21"/>
        <v>low</v>
      </c>
      <c r="O698" s="2"/>
    </row>
    <row r="699" spans="1:15">
      <c r="A699" t="s">
        <v>757</v>
      </c>
      <c r="B699" s="1">
        <v>45309</v>
      </c>
      <c r="C699" t="s">
        <v>25</v>
      </c>
      <c r="D699" t="s">
        <v>87</v>
      </c>
      <c r="E699" t="s">
        <v>32</v>
      </c>
      <c r="F699">
        <v>2</v>
      </c>
      <c r="G699">
        <v>6279.65</v>
      </c>
      <c r="H699" s="5">
        <v>0.15</v>
      </c>
      <c r="I699" t="s">
        <v>16</v>
      </c>
      <c r="J699" t="s">
        <v>17</v>
      </c>
      <c r="K699" t="s">
        <v>33</v>
      </c>
      <c r="L699">
        <v>10675.4</v>
      </c>
      <c r="M699" s="2" t="str">
        <f t="shared" si="20"/>
        <v>Jan</v>
      </c>
      <c r="N699" s="2" t="str">
        <f t="shared" si="21"/>
        <v>medium</v>
      </c>
      <c r="O699" s="2"/>
    </row>
    <row r="700" spans="1:15">
      <c r="A700" t="s">
        <v>758</v>
      </c>
      <c r="B700" s="1">
        <v>45421</v>
      </c>
      <c r="C700" t="s">
        <v>25</v>
      </c>
      <c r="D700" t="s">
        <v>46</v>
      </c>
      <c r="E700" t="s">
        <v>1160</v>
      </c>
      <c r="F700">
        <v>2</v>
      </c>
      <c r="G700">
        <v>6584.93</v>
      </c>
      <c r="H700" s="5">
        <v>0.25</v>
      </c>
      <c r="I700" t="s">
        <v>55</v>
      </c>
      <c r="J700" t="s">
        <v>23</v>
      </c>
      <c r="K700" t="s">
        <v>33</v>
      </c>
      <c r="L700">
        <v>9877.4</v>
      </c>
      <c r="M700" s="2" t="str">
        <f t="shared" si="20"/>
        <v>May</v>
      </c>
      <c r="N700" s="2" t="str">
        <f t="shared" si="21"/>
        <v>low</v>
      </c>
      <c r="O700" s="2"/>
    </row>
    <row r="701" spans="1:15">
      <c r="A701" t="s">
        <v>759</v>
      </c>
      <c r="B701" s="1">
        <v>45580</v>
      </c>
      <c r="C701" t="s">
        <v>13</v>
      </c>
      <c r="D701" t="s">
        <v>70</v>
      </c>
      <c r="E701" t="s">
        <v>44</v>
      </c>
      <c r="F701">
        <v>6</v>
      </c>
      <c r="G701">
        <v>7199.09</v>
      </c>
      <c r="H701" s="5">
        <v>0.25</v>
      </c>
      <c r="I701" t="s">
        <v>55</v>
      </c>
      <c r="J701" t="s">
        <v>40</v>
      </c>
      <c r="K701" t="s">
        <v>33</v>
      </c>
      <c r="L701">
        <v>32395.9</v>
      </c>
      <c r="M701" s="2" t="str">
        <f t="shared" si="20"/>
        <v>Oct</v>
      </c>
      <c r="N701" s="2" t="str">
        <f t="shared" si="21"/>
        <v>high</v>
      </c>
      <c r="O701" s="2"/>
    </row>
    <row r="702" spans="1:15">
      <c r="A702" t="s">
        <v>760</v>
      </c>
      <c r="B702" s="1">
        <v>45569</v>
      </c>
      <c r="C702" t="s">
        <v>13</v>
      </c>
      <c r="D702" t="s">
        <v>108</v>
      </c>
      <c r="E702" t="s">
        <v>15</v>
      </c>
      <c r="F702">
        <v>2</v>
      </c>
      <c r="G702">
        <v>7861.73</v>
      </c>
      <c r="H702" s="5">
        <v>0.15</v>
      </c>
      <c r="I702" t="s">
        <v>55</v>
      </c>
      <c r="J702" t="s">
        <v>23</v>
      </c>
      <c r="K702" t="s">
        <v>33</v>
      </c>
      <c r="L702">
        <v>13364.94</v>
      </c>
      <c r="M702" s="2" t="str">
        <f t="shared" si="20"/>
        <v>Oct</v>
      </c>
      <c r="N702" s="2" t="str">
        <f t="shared" si="21"/>
        <v>medium</v>
      </c>
      <c r="O702" s="2"/>
    </row>
    <row r="703" spans="1:15">
      <c r="A703" t="s">
        <v>761</v>
      </c>
      <c r="B703" s="1">
        <v>45647</v>
      </c>
      <c r="C703" t="s">
        <v>13</v>
      </c>
      <c r="D703" t="s">
        <v>74</v>
      </c>
      <c r="E703" t="s">
        <v>80</v>
      </c>
      <c r="F703">
        <v>1</v>
      </c>
      <c r="G703">
        <v>4458.45</v>
      </c>
      <c r="H703" s="5">
        <v>0.05</v>
      </c>
      <c r="I703" t="s">
        <v>28</v>
      </c>
      <c r="J703" t="s">
        <v>17</v>
      </c>
      <c r="K703" t="s">
        <v>33</v>
      </c>
      <c r="L703">
        <v>4235.53</v>
      </c>
      <c r="M703" s="2" t="str">
        <f t="shared" si="20"/>
        <v>Dec</v>
      </c>
      <c r="N703" s="2" t="str">
        <f t="shared" si="21"/>
        <v>low</v>
      </c>
      <c r="O703" s="2"/>
    </row>
    <row r="704" spans="1:15">
      <c r="A704" t="s">
        <v>762</v>
      </c>
      <c r="B704" s="1">
        <v>45602</v>
      </c>
      <c r="C704" t="s">
        <v>38</v>
      </c>
      <c r="D704" t="s">
        <v>100</v>
      </c>
      <c r="E704" t="s">
        <v>32</v>
      </c>
      <c r="F704">
        <v>3</v>
      </c>
      <c r="G704">
        <v>1942.27</v>
      </c>
      <c r="H704" s="5">
        <v>0.1</v>
      </c>
      <c r="I704" t="s">
        <v>16</v>
      </c>
      <c r="J704" t="s">
        <v>49</v>
      </c>
      <c r="K704" t="s">
        <v>18</v>
      </c>
      <c r="L704">
        <v>5244.13</v>
      </c>
      <c r="M704" s="2" t="str">
        <f t="shared" si="20"/>
        <v>Nov</v>
      </c>
      <c r="N704" s="2" t="str">
        <f t="shared" si="21"/>
        <v>low</v>
      </c>
      <c r="O704" s="2"/>
    </row>
    <row r="705" spans="1:15">
      <c r="A705" t="s">
        <v>763</v>
      </c>
      <c r="B705" s="1">
        <v>45297</v>
      </c>
      <c r="C705" t="s">
        <v>38</v>
      </c>
      <c r="D705" t="s">
        <v>39</v>
      </c>
      <c r="E705" t="s">
        <v>80</v>
      </c>
      <c r="F705">
        <v>6</v>
      </c>
      <c r="G705">
        <v>2911.32</v>
      </c>
      <c r="H705" s="5">
        <v>0.25</v>
      </c>
      <c r="I705" t="s">
        <v>16</v>
      </c>
      <c r="J705" t="s">
        <v>23</v>
      </c>
      <c r="K705" t="s">
        <v>33</v>
      </c>
      <c r="L705">
        <v>13100.94</v>
      </c>
      <c r="M705" s="2" t="str">
        <f t="shared" si="20"/>
        <v>Jan</v>
      </c>
      <c r="N705" s="2" t="str">
        <f t="shared" si="21"/>
        <v>medium</v>
      </c>
      <c r="O705" s="2"/>
    </row>
    <row r="706" spans="1:15">
      <c r="A706" t="s">
        <v>764</v>
      </c>
      <c r="B706" s="1">
        <v>45352</v>
      </c>
      <c r="C706" t="s">
        <v>38</v>
      </c>
      <c r="D706" t="s">
        <v>100</v>
      </c>
      <c r="E706" t="s">
        <v>44</v>
      </c>
      <c r="F706">
        <v>4</v>
      </c>
      <c r="G706">
        <v>1914.53</v>
      </c>
      <c r="H706" s="5">
        <v>0</v>
      </c>
      <c r="I706" t="s">
        <v>22</v>
      </c>
      <c r="J706" t="s">
        <v>17</v>
      </c>
      <c r="K706" t="s">
        <v>33</v>
      </c>
      <c r="L706">
        <v>7658.12</v>
      </c>
      <c r="M706" s="2" t="str">
        <f t="shared" ref="M706:M769" si="22">TEXT(B706,"mmm")</f>
        <v>Mar</v>
      </c>
      <c r="N706" s="2" t="str">
        <f t="shared" ref="N706:N769" si="23">IF(L706&gt;20000,"high",IF(L706&gt;10000,"medium","low"))</f>
        <v>low</v>
      </c>
      <c r="O706" s="2"/>
    </row>
    <row r="707" spans="1:15">
      <c r="A707" t="s">
        <v>765</v>
      </c>
      <c r="B707" s="1">
        <v>45557</v>
      </c>
      <c r="C707" t="s">
        <v>35</v>
      </c>
      <c r="D707" t="s">
        <v>68</v>
      </c>
      <c r="E707" t="s">
        <v>80</v>
      </c>
      <c r="F707">
        <v>5</v>
      </c>
      <c r="G707">
        <v>1467.25</v>
      </c>
      <c r="H707" s="5">
        <v>0</v>
      </c>
      <c r="I707" t="s">
        <v>55</v>
      </c>
      <c r="J707" t="s">
        <v>29</v>
      </c>
      <c r="K707" t="s">
        <v>33</v>
      </c>
      <c r="L707">
        <v>7336.25</v>
      </c>
      <c r="M707" s="2" t="str">
        <f t="shared" si="22"/>
        <v>Sep</v>
      </c>
      <c r="N707" s="2" t="str">
        <f t="shared" si="23"/>
        <v>low</v>
      </c>
      <c r="O707" s="2"/>
    </row>
    <row r="708" spans="1:15">
      <c r="A708" t="s">
        <v>766</v>
      </c>
      <c r="B708" s="1">
        <v>45301</v>
      </c>
      <c r="C708" t="s">
        <v>13</v>
      </c>
      <c r="D708" t="s">
        <v>70</v>
      </c>
      <c r="E708" t="s">
        <v>80</v>
      </c>
      <c r="F708">
        <v>2</v>
      </c>
      <c r="G708">
        <v>840.11</v>
      </c>
      <c r="H708" s="5">
        <v>0.15</v>
      </c>
      <c r="I708" t="s">
        <v>16</v>
      </c>
      <c r="J708" t="s">
        <v>40</v>
      </c>
      <c r="K708" t="s">
        <v>33</v>
      </c>
      <c r="L708">
        <v>1428.19</v>
      </c>
      <c r="M708" s="2" t="str">
        <f t="shared" si="22"/>
        <v>Jan</v>
      </c>
      <c r="N708" s="2" t="str">
        <f t="shared" si="23"/>
        <v>low</v>
      </c>
      <c r="O708" s="2"/>
    </row>
    <row r="709" spans="1:15">
      <c r="A709" t="s">
        <v>767</v>
      </c>
      <c r="B709" s="1">
        <v>45354</v>
      </c>
      <c r="C709" t="s">
        <v>38</v>
      </c>
      <c r="D709" t="s">
        <v>164</v>
      </c>
      <c r="E709" t="s">
        <v>47</v>
      </c>
      <c r="F709">
        <v>4</v>
      </c>
      <c r="G709">
        <v>2058.29</v>
      </c>
      <c r="H709" s="5">
        <v>0.05</v>
      </c>
      <c r="I709" t="s">
        <v>16</v>
      </c>
      <c r="J709" t="s">
        <v>17</v>
      </c>
      <c r="K709" t="s">
        <v>18</v>
      </c>
      <c r="L709">
        <v>7821.5</v>
      </c>
      <c r="M709" s="2" t="str">
        <f t="shared" si="22"/>
        <v>Mar</v>
      </c>
      <c r="N709" s="2" t="str">
        <f t="shared" si="23"/>
        <v>low</v>
      </c>
      <c r="O709" s="2"/>
    </row>
    <row r="710" spans="1:15">
      <c r="A710" t="s">
        <v>768</v>
      </c>
      <c r="B710" s="1">
        <v>45648</v>
      </c>
      <c r="C710" t="s">
        <v>20</v>
      </c>
      <c r="D710" t="s">
        <v>78</v>
      </c>
      <c r="E710" t="s">
        <v>1160</v>
      </c>
      <c r="F710">
        <v>3</v>
      </c>
      <c r="G710">
        <v>7823.48</v>
      </c>
      <c r="H710" s="5">
        <v>0.1</v>
      </c>
      <c r="I710" t="s">
        <v>22</v>
      </c>
      <c r="J710" t="s">
        <v>40</v>
      </c>
      <c r="K710" t="s">
        <v>33</v>
      </c>
      <c r="L710">
        <v>21123.4</v>
      </c>
      <c r="M710" s="2" t="str">
        <f t="shared" si="22"/>
        <v>Dec</v>
      </c>
      <c r="N710" s="2" t="str">
        <f t="shared" si="23"/>
        <v>high</v>
      </c>
      <c r="O710" s="2"/>
    </row>
    <row r="711" spans="1:15">
      <c r="A711" t="s">
        <v>769</v>
      </c>
      <c r="B711" s="1">
        <v>45346</v>
      </c>
      <c r="C711" t="s">
        <v>35</v>
      </c>
      <c r="D711" t="s">
        <v>68</v>
      </c>
      <c r="E711" t="s">
        <v>44</v>
      </c>
      <c r="F711">
        <v>2</v>
      </c>
      <c r="G711">
        <v>5000.22</v>
      </c>
      <c r="H711" s="5">
        <v>0.05</v>
      </c>
      <c r="I711" t="s">
        <v>55</v>
      </c>
      <c r="J711" t="s">
        <v>49</v>
      </c>
      <c r="K711" t="s">
        <v>33</v>
      </c>
      <c r="L711">
        <v>9500.42</v>
      </c>
      <c r="M711" s="2" t="str">
        <f t="shared" si="22"/>
        <v>Feb</v>
      </c>
      <c r="N711" s="2" t="str">
        <f t="shared" si="23"/>
        <v>low</v>
      </c>
      <c r="O711" s="2"/>
    </row>
    <row r="712" spans="1:15">
      <c r="A712" t="s">
        <v>770</v>
      </c>
      <c r="B712" s="1">
        <v>45432</v>
      </c>
      <c r="C712" t="s">
        <v>13</v>
      </c>
      <c r="D712" t="s">
        <v>108</v>
      </c>
      <c r="E712" t="s">
        <v>53</v>
      </c>
      <c r="F712">
        <v>3</v>
      </c>
      <c r="G712">
        <v>650.02</v>
      </c>
      <c r="H712" s="5">
        <v>0</v>
      </c>
      <c r="I712" t="s">
        <v>22</v>
      </c>
      <c r="J712" t="s">
        <v>29</v>
      </c>
      <c r="K712" t="s">
        <v>33</v>
      </c>
      <c r="L712">
        <v>1950.06</v>
      </c>
      <c r="M712" s="2" t="str">
        <f t="shared" si="22"/>
        <v>May</v>
      </c>
      <c r="N712" s="2" t="str">
        <f t="shared" si="23"/>
        <v>low</v>
      </c>
      <c r="O712" s="2"/>
    </row>
    <row r="713" spans="1:15">
      <c r="A713" t="s">
        <v>771</v>
      </c>
      <c r="B713" s="1">
        <v>45523</v>
      </c>
      <c r="C713" t="s">
        <v>20</v>
      </c>
      <c r="D713" t="s">
        <v>21</v>
      </c>
      <c r="E713" t="s">
        <v>27</v>
      </c>
      <c r="F713">
        <v>4</v>
      </c>
      <c r="G713">
        <v>1128.9000000000001</v>
      </c>
      <c r="H713" s="5">
        <v>0</v>
      </c>
      <c r="I713" t="s">
        <v>16</v>
      </c>
      <c r="J713" t="s">
        <v>49</v>
      </c>
      <c r="K713" t="s">
        <v>33</v>
      </c>
      <c r="L713">
        <v>4515.6000000000004</v>
      </c>
      <c r="M713" s="2" t="str">
        <f t="shared" si="22"/>
        <v>Aug</v>
      </c>
      <c r="N713" s="2" t="str">
        <f t="shared" si="23"/>
        <v>low</v>
      </c>
      <c r="O713" s="2"/>
    </row>
    <row r="714" spans="1:15">
      <c r="A714" t="s">
        <v>772</v>
      </c>
      <c r="B714" s="1">
        <v>45409</v>
      </c>
      <c r="C714" t="s">
        <v>13</v>
      </c>
      <c r="D714" t="s">
        <v>74</v>
      </c>
      <c r="E714" t="s">
        <v>15</v>
      </c>
      <c r="F714">
        <v>3</v>
      </c>
      <c r="G714">
        <v>2788.04</v>
      </c>
      <c r="H714" s="5">
        <v>0</v>
      </c>
      <c r="I714" t="s">
        <v>55</v>
      </c>
      <c r="J714" t="s">
        <v>29</v>
      </c>
      <c r="K714" t="s">
        <v>33</v>
      </c>
      <c r="L714">
        <f>(F714*G714)-(F714*G714)*H714</f>
        <v>8364.119999999999</v>
      </c>
      <c r="M714" s="2" t="str">
        <f t="shared" si="22"/>
        <v>Apr</v>
      </c>
      <c r="N714" s="2" t="str">
        <f t="shared" si="23"/>
        <v>low</v>
      </c>
      <c r="O714" s="2"/>
    </row>
    <row r="715" spans="1:15">
      <c r="A715" t="s">
        <v>773</v>
      </c>
      <c r="B715" s="1">
        <v>45654</v>
      </c>
      <c r="C715" t="s">
        <v>13</v>
      </c>
      <c r="D715" t="s">
        <v>74</v>
      </c>
      <c r="E715" t="s">
        <v>53</v>
      </c>
      <c r="F715">
        <v>3</v>
      </c>
      <c r="G715">
        <v>5245.11</v>
      </c>
      <c r="H715" s="5">
        <v>0.05</v>
      </c>
      <c r="I715" t="s">
        <v>55</v>
      </c>
      <c r="J715" t="s">
        <v>49</v>
      </c>
      <c r="K715" t="s">
        <v>33</v>
      </c>
      <c r="L715">
        <v>14948.56</v>
      </c>
      <c r="M715" s="2" t="str">
        <f t="shared" si="22"/>
        <v>Dec</v>
      </c>
      <c r="N715" s="2" t="str">
        <f t="shared" si="23"/>
        <v>medium</v>
      </c>
      <c r="O715" s="2"/>
    </row>
    <row r="716" spans="1:15">
      <c r="A716" t="s">
        <v>774</v>
      </c>
      <c r="B716" s="1">
        <v>45344</v>
      </c>
      <c r="C716" t="s">
        <v>25</v>
      </c>
      <c r="D716" t="s">
        <v>94</v>
      </c>
      <c r="E716" t="s">
        <v>27</v>
      </c>
      <c r="F716">
        <v>1</v>
      </c>
      <c r="G716">
        <v>6108.48</v>
      </c>
      <c r="H716" s="5">
        <v>0</v>
      </c>
      <c r="I716" t="s">
        <v>55</v>
      </c>
      <c r="J716" t="s">
        <v>23</v>
      </c>
      <c r="K716" t="s">
        <v>33</v>
      </c>
      <c r="L716">
        <v>6108.48</v>
      </c>
      <c r="M716" s="2" t="str">
        <f t="shared" si="22"/>
        <v>Feb</v>
      </c>
      <c r="N716" s="2" t="str">
        <f t="shared" si="23"/>
        <v>low</v>
      </c>
      <c r="O716" s="2"/>
    </row>
    <row r="717" spans="1:15">
      <c r="A717" t="s">
        <v>775</v>
      </c>
      <c r="B717" s="1">
        <v>45561</v>
      </c>
      <c r="C717" t="s">
        <v>25</v>
      </c>
      <c r="D717" t="s">
        <v>26</v>
      </c>
      <c r="E717" t="s">
        <v>1160</v>
      </c>
      <c r="F717">
        <v>4</v>
      </c>
      <c r="G717">
        <v>178.17</v>
      </c>
      <c r="H717" s="5">
        <v>0</v>
      </c>
      <c r="I717" t="s">
        <v>55</v>
      </c>
      <c r="J717" t="s">
        <v>49</v>
      </c>
      <c r="K717" t="s">
        <v>33</v>
      </c>
      <c r="L717">
        <v>712.68</v>
      </c>
      <c r="M717" s="2" t="str">
        <f t="shared" si="22"/>
        <v>Sep</v>
      </c>
      <c r="N717" s="2" t="str">
        <f t="shared" si="23"/>
        <v>low</v>
      </c>
      <c r="O717" s="2"/>
    </row>
    <row r="718" spans="1:15">
      <c r="A718" t="s">
        <v>776</v>
      </c>
      <c r="B718" s="1">
        <v>45641</v>
      </c>
      <c r="C718" t="s">
        <v>25</v>
      </c>
      <c r="D718" t="s">
        <v>26</v>
      </c>
      <c r="E718" t="s">
        <v>47</v>
      </c>
      <c r="F718">
        <v>4</v>
      </c>
      <c r="G718">
        <v>1063.95</v>
      </c>
      <c r="H718" s="5">
        <v>0</v>
      </c>
      <c r="I718" t="s">
        <v>16</v>
      </c>
      <c r="J718" t="s">
        <v>17</v>
      </c>
      <c r="K718" t="s">
        <v>18</v>
      </c>
      <c r="L718">
        <v>4255.8</v>
      </c>
      <c r="M718" s="2" t="str">
        <f t="shared" si="22"/>
        <v>Dec</v>
      </c>
      <c r="N718" s="2" t="str">
        <f t="shared" si="23"/>
        <v>low</v>
      </c>
      <c r="O718" s="2"/>
    </row>
    <row r="719" spans="1:15">
      <c r="A719" t="s">
        <v>777</v>
      </c>
      <c r="B719" s="1">
        <v>45456</v>
      </c>
      <c r="C719" t="s">
        <v>25</v>
      </c>
      <c r="D719" t="s">
        <v>26</v>
      </c>
      <c r="E719" t="s">
        <v>32</v>
      </c>
      <c r="F719">
        <v>5</v>
      </c>
      <c r="G719">
        <v>5860.81</v>
      </c>
      <c r="H719" s="5">
        <v>0</v>
      </c>
      <c r="I719" t="s">
        <v>22</v>
      </c>
      <c r="J719" t="s">
        <v>29</v>
      </c>
      <c r="K719" t="s">
        <v>18</v>
      </c>
      <c r="L719">
        <v>29304.05</v>
      </c>
      <c r="M719" s="2" t="str">
        <f t="shared" si="22"/>
        <v>Jun</v>
      </c>
      <c r="N719" s="2" t="str">
        <f t="shared" si="23"/>
        <v>high</v>
      </c>
      <c r="O719" s="2"/>
    </row>
    <row r="720" spans="1:15">
      <c r="A720" t="s">
        <v>778</v>
      </c>
      <c r="B720" s="1">
        <v>45487</v>
      </c>
      <c r="C720" t="s">
        <v>13</v>
      </c>
      <c r="D720" t="s">
        <v>14</v>
      </c>
      <c r="E720" t="s">
        <v>44</v>
      </c>
      <c r="F720">
        <v>3</v>
      </c>
      <c r="G720">
        <v>6054.98</v>
      </c>
      <c r="H720" s="5">
        <v>0.2</v>
      </c>
      <c r="I720" t="s">
        <v>55</v>
      </c>
      <c r="J720" t="s">
        <v>40</v>
      </c>
      <c r="K720" t="s">
        <v>33</v>
      </c>
      <c r="L720">
        <v>14531.95</v>
      </c>
      <c r="M720" s="2" t="str">
        <f t="shared" si="22"/>
        <v>Jul</v>
      </c>
      <c r="N720" s="2" t="str">
        <f t="shared" si="23"/>
        <v>medium</v>
      </c>
      <c r="O720" s="2"/>
    </row>
    <row r="721" spans="1:15">
      <c r="A721" t="s">
        <v>779</v>
      </c>
      <c r="B721" s="1">
        <v>45489</v>
      </c>
      <c r="C721" t="s">
        <v>38</v>
      </c>
      <c r="D721" t="s">
        <v>42</v>
      </c>
      <c r="E721" t="s">
        <v>27</v>
      </c>
      <c r="F721">
        <v>6</v>
      </c>
      <c r="G721">
        <v>4636.37</v>
      </c>
      <c r="H721" s="5">
        <v>0</v>
      </c>
      <c r="I721" t="s">
        <v>16</v>
      </c>
      <c r="J721" t="s">
        <v>23</v>
      </c>
      <c r="K721" t="s">
        <v>33</v>
      </c>
      <c r="L721">
        <f>(F721*G721)-(F721*G721)*H721</f>
        <v>27818.22</v>
      </c>
      <c r="M721" s="2" t="str">
        <f t="shared" si="22"/>
        <v>Jul</v>
      </c>
      <c r="N721" s="2" t="str">
        <f t="shared" si="23"/>
        <v>high</v>
      </c>
      <c r="O721" s="2"/>
    </row>
    <row r="722" spans="1:15">
      <c r="A722" t="s">
        <v>780</v>
      </c>
      <c r="B722" s="1">
        <v>45540</v>
      </c>
      <c r="C722" t="s">
        <v>20</v>
      </c>
      <c r="D722" t="s">
        <v>61</v>
      </c>
      <c r="E722" t="s">
        <v>1160</v>
      </c>
      <c r="F722">
        <v>2</v>
      </c>
      <c r="G722">
        <v>2275.0700000000002</v>
      </c>
      <c r="H722" s="5">
        <v>0.15</v>
      </c>
      <c r="I722" t="s">
        <v>22</v>
      </c>
      <c r="J722" t="s">
        <v>17</v>
      </c>
      <c r="K722" t="s">
        <v>33</v>
      </c>
      <c r="L722">
        <v>3867.62</v>
      </c>
      <c r="M722" s="2" t="str">
        <f t="shared" si="22"/>
        <v>Sep</v>
      </c>
      <c r="N722" s="2" t="str">
        <f t="shared" si="23"/>
        <v>low</v>
      </c>
      <c r="O722" s="2"/>
    </row>
    <row r="723" spans="1:15">
      <c r="A723" t="s">
        <v>781</v>
      </c>
      <c r="B723" s="1">
        <v>45472</v>
      </c>
      <c r="C723" t="s">
        <v>25</v>
      </c>
      <c r="D723" t="s">
        <v>46</v>
      </c>
      <c r="E723" t="s">
        <v>15</v>
      </c>
      <c r="F723">
        <v>6</v>
      </c>
      <c r="G723">
        <v>6822.74</v>
      </c>
      <c r="H723" s="5">
        <v>0.1</v>
      </c>
      <c r="I723" t="s">
        <v>55</v>
      </c>
      <c r="J723" t="s">
        <v>17</v>
      </c>
      <c r="K723" t="s">
        <v>33</v>
      </c>
      <c r="L723">
        <v>36842.800000000003</v>
      </c>
      <c r="M723" s="2" t="str">
        <f t="shared" si="22"/>
        <v>Jun</v>
      </c>
      <c r="N723" s="2" t="str">
        <f t="shared" si="23"/>
        <v>high</v>
      </c>
      <c r="O723" s="2"/>
    </row>
    <row r="724" spans="1:15">
      <c r="A724" t="s">
        <v>782</v>
      </c>
      <c r="B724" s="1">
        <v>45528</v>
      </c>
      <c r="C724" t="s">
        <v>13</v>
      </c>
      <c r="D724" t="s">
        <v>76</v>
      </c>
      <c r="E724" t="s">
        <v>1160</v>
      </c>
      <c r="F724">
        <v>6</v>
      </c>
      <c r="G724">
        <v>1825.5</v>
      </c>
      <c r="H724" s="5">
        <v>0.15</v>
      </c>
      <c r="I724" t="s">
        <v>16</v>
      </c>
      <c r="J724" t="s">
        <v>40</v>
      </c>
      <c r="K724" t="s">
        <v>18</v>
      </c>
      <c r="L724">
        <v>9310.0499999999993</v>
      </c>
      <c r="M724" s="2" t="str">
        <f t="shared" si="22"/>
        <v>Aug</v>
      </c>
      <c r="N724" s="2" t="str">
        <f t="shared" si="23"/>
        <v>low</v>
      </c>
      <c r="O724" s="2"/>
    </row>
    <row r="725" spans="1:15">
      <c r="A725" t="s">
        <v>783</v>
      </c>
      <c r="B725" s="1">
        <v>45494</v>
      </c>
      <c r="C725" t="s">
        <v>13</v>
      </c>
      <c r="D725" t="s">
        <v>70</v>
      </c>
      <c r="E725" t="s">
        <v>47</v>
      </c>
      <c r="F725">
        <v>2</v>
      </c>
      <c r="G725">
        <v>3019.38</v>
      </c>
      <c r="H725" s="5">
        <v>0.2</v>
      </c>
      <c r="I725" t="s">
        <v>16</v>
      </c>
      <c r="J725" t="s">
        <v>40</v>
      </c>
      <c r="K725" t="s">
        <v>18</v>
      </c>
      <c r="L725">
        <v>4831.01</v>
      </c>
      <c r="M725" s="2" t="str">
        <f t="shared" si="22"/>
        <v>Jul</v>
      </c>
      <c r="N725" s="2" t="str">
        <f t="shared" si="23"/>
        <v>low</v>
      </c>
      <c r="O725" s="2"/>
    </row>
    <row r="726" spans="1:15">
      <c r="A726" t="s">
        <v>784</v>
      </c>
      <c r="B726" s="1">
        <v>45450</v>
      </c>
      <c r="C726" t="s">
        <v>35</v>
      </c>
      <c r="D726" t="s">
        <v>68</v>
      </c>
      <c r="E726" t="s">
        <v>15</v>
      </c>
      <c r="F726">
        <v>4</v>
      </c>
      <c r="G726">
        <v>1200.6199999999999</v>
      </c>
      <c r="H726" s="5">
        <v>0.2</v>
      </c>
      <c r="I726" t="s">
        <v>16</v>
      </c>
      <c r="J726" t="s">
        <v>17</v>
      </c>
      <c r="K726" t="s">
        <v>33</v>
      </c>
      <c r="L726">
        <v>3841.98</v>
      </c>
      <c r="M726" s="2" t="str">
        <f t="shared" si="22"/>
        <v>Jun</v>
      </c>
      <c r="N726" s="2" t="str">
        <f t="shared" si="23"/>
        <v>low</v>
      </c>
      <c r="O726" s="2"/>
    </row>
    <row r="727" spans="1:15">
      <c r="A727" t="s">
        <v>785</v>
      </c>
      <c r="B727" s="1">
        <v>45302</v>
      </c>
      <c r="C727" t="s">
        <v>38</v>
      </c>
      <c r="D727" t="s">
        <v>51</v>
      </c>
      <c r="E727" t="s">
        <v>47</v>
      </c>
      <c r="F727">
        <v>3</v>
      </c>
      <c r="G727">
        <v>1250.02</v>
      </c>
      <c r="H727" s="5">
        <v>0.05</v>
      </c>
      <c r="I727" t="s">
        <v>16</v>
      </c>
      <c r="J727" t="s">
        <v>49</v>
      </c>
      <c r="K727" t="s">
        <v>33</v>
      </c>
      <c r="L727">
        <v>3562.56</v>
      </c>
      <c r="M727" s="2" t="str">
        <f t="shared" si="22"/>
        <v>Jan</v>
      </c>
      <c r="N727" s="2" t="str">
        <f t="shared" si="23"/>
        <v>low</v>
      </c>
      <c r="O727" s="2"/>
    </row>
    <row r="728" spans="1:15">
      <c r="A728" t="s">
        <v>786</v>
      </c>
      <c r="B728" s="1">
        <v>45456</v>
      </c>
      <c r="C728" t="s">
        <v>35</v>
      </c>
      <c r="D728" t="s">
        <v>68</v>
      </c>
      <c r="E728" t="s">
        <v>27</v>
      </c>
      <c r="F728">
        <v>3</v>
      </c>
      <c r="G728">
        <v>172.47</v>
      </c>
      <c r="H728" s="5">
        <v>0</v>
      </c>
      <c r="I728" t="s">
        <v>22</v>
      </c>
      <c r="J728" t="s">
        <v>17</v>
      </c>
      <c r="K728" t="s">
        <v>33</v>
      </c>
      <c r="L728">
        <v>517.41</v>
      </c>
      <c r="M728" s="2" t="str">
        <f t="shared" si="22"/>
        <v>Jun</v>
      </c>
      <c r="N728" s="2" t="str">
        <f t="shared" si="23"/>
        <v>low</v>
      </c>
      <c r="O728" s="2"/>
    </row>
    <row r="729" spans="1:15">
      <c r="A729" t="s">
        <v>787</v>
      </c>
      <c r="B729" s="1">
        <v>45595</v>
      </c>
      <c r="C729" t="s">
        <v>20</v>
      </c>
      <c r="D729" t="s">
        <v>61</v>
      </c>
      <c r="E729" t="s">
        <v>15</v>
      </c>
      <c r="F729">
        <v>4</v>
      </c>
      <c r="G729">
        <v>3843.36</v>
      </c>
      <c r="H729" s="5">
        <v>0.05</v>
      </c>
      <c r="I729" t="s">
        <v>55</v>
      </c>
      <c r="J729" t="s">
        <v>29</v>
      </c>
      <c r="K729" t="s">
        <v>33</v>
      </c>
      <c r="L729">
        <v>14604.77</v>
      </c>
      <c r="M729" s="2" t="str">
        <f t="shared" si="22"/>
        <v>Oct</v>
      </c>
      <c r="N729" s="2" t="str">
        <f t="shared" si="23"/>
        <v>medium</v>
      </c>
      <c r="O729" s="2"/>
    </row>
    <row r="730" spans="1:15">
      <c r="A730" t="s">
        <v>788</v>
      </c>
      <c r="B730" s="1">
        <v>45384</v>
      </c>
      <c r="C730" t="s">
        <v>20</v>
      </c>
      <c r="D730" t="s">
        <v>57</v>
      </c>
      <c r="E730" t="s">
        <v>15</v>
      </c>
      <c r="F730">
        <v>1</v>
      </c>
      <c r="G730">
        <v>2838.01</v>
      </c>
      <c r="H730" s="5">
        <v>0.1</v>
      </c>
      <c r="I730" t="s">
        <v>16</v>
      </c>
      <c r="J730" t="s">
        <v>29</v>
      </c>
      <c r="K730" t="s">
        <v>18</v>
      </c>
      <c r="L730">
        <v>2554.21</v>
      </c>
      <c r="M730" s="2" t="str">
        <f t="shared" si="22"/>
        <v>Apr</v>
      </c>
      <c r="N730" s="2" t="str">
        <f t="shared" si="23"/>
        <v>low</v>
      </c>
      <c r="O730" s="2"/>
    </row>
    <row r="731" spans="1:15">
      <c r="A731" t="s">
        <v>789</v>
      </c>
      <c r="B731" s="1">
        <v>45541</v>
      </c>
      <c r="C731" t="s">
        <v>13</v>
      </c>
      <c r="D731" t="s">
        <v>76</v>
      </c>
      <c r="E731" t="s">
        <v>80</v>
      </c>
      <c r="F731">
        <v>1</v>
      </c>
      <c r="G731">
        <v>1370.65</v>
      </c>
      <c r="H731" s="5">
        <v>0.25</v>
      </c>
      <c r="I731" t="s">
        <v>28</v>
      </c>
      <c r="J731" t="s">
        <v>17</v>
      </c>
      <c r="K731" t="s">
        <v>33</v>
      </c>
      <c r="L731">
        <v>1027.99</v>
      </c>
      <c r="M731" s="2" t="str">
        <f t="shared" si="22"/>
        <v>Sep</v>
      </c>
      <c r="N731" s="2" t="str">
        <f t="shared" si="23"/>
        <v>low</v>
      </c>
      <c r="O731" s="2"/>
    </row>
    <row r="732" spans="1:15">
      <c r="A732" t="s">
        <v>790</v>
      </c>
      <c r="B732" s="1">
        <v>45640</v>
      </c>
      <c r="C732" t="s">
        <v>25</v>
      </c>
      <c r="D732" t="s">
        <v>26</v>
      </c>
      <c r="E732" t="s">
        <v>15</v>
      </c>
      <c r="F732">
        <v>6</v>
      </c>
      <c r="G732">
        <v>6631.43</v>
      </c>
      <c r="H732" s="5">
        <v>0</v>
      </c>
      <c r="I732" t="s">
        <v>22</v>
      </c>
      <c r="J732" t="s">
        <v>17</v>
      </c>
      <c r="K732" t="s">
        <v>18</v>
      </c>
      <c r="L732">
        <v>39788.58</v>
      </c>
      <c r="M732" s="2" t="str">
        <f t="shared" si="22"/>
        <v>Dec</v>
      </c>
      <c r="N732" s="2" t="str">
        <f t="shared" si="23"/>
        <v>high</v>
      </c>
      <c r="O732" s="2"/>
    </row>
    <row r="733" spans="1:15">
      <c r="A733" t="s">
        <v>791</v>
      </c>
      <c r="B733" s="1">
        <v>45584</v>
      </c>
      <c r="C733" t="s">
        <v>25</v>
      </c>
      <c r="D733" t="s">
        <v>46</v>
      </c>
      <c r="E733" t="s">
        <v>53</v>
      </c>
      <c r="F733">
        <v>2</v>
      </c>
      <c r="G733">
        <v>7981.55</v>
      </c>
      <c r="H733" s="5">
        <v>0.2</v>
      </c>
      <c r="I733" t="s">
        <v>22</v>
      </c>
      <c r="J733" t="s">
        <v>49</v>
      </c>
      <c r="K733" t="s">
        <v>33</v>
      </c>
      <c r="L733">
        <v>12770.48</v>
      </c>
      <c r="M733" s="2" t="str">
        <f t="shared" si="22"/>
        <v>Oct</v>
      </c>
      <c r="N733" s="2" t="str">
        <f t="shared" si="23"/>
        <v>medium</v>
      </c>
      <c r="O733" s="2"/>
    </row>
    <row r="734" spans="1:15">
      <c r="A734" t="s">
        <v>792</v>
      </c>
      <c r="B734" s="1">
        <v>45528</v>
      </c>
      <c r="C734" t="s">
        <v>20</v>
      </c>
      <c r="D734" t="s">
        <v>57</v>
      </c>
      <c r="E734" t="s">
        <v>44</v>
      </c>
      <c r="F734">
        <v>5</v>
      </c>
      <c r="G734">
        <v>7801.76</v>
      </c>
      <c r="H734" s="5">
        <v>0.25</v>
      </c>
      <c r="I734" t="s">
        <v>55</v>
      </c>
      <c r="J734" t="s">
        <v>23</v>
      </c>
      <c r="K734" t="s">
        <v>33</v>
      </c>
      <c r="L734">
        <v>29256.6</v>
      </c>
      <c r="M734" s="2" t="str">
        <f t="shared" si="22"/>
        <v>Aug</v>
      </c>
      <c r="N734" s="2" t="str">
        <f t="shared" si="23"/>
        <v>high</v>
      </c>
      <c r="O734" s="2"/>
    </row>
    <row r="735" spans="1:15">
      <c r="A735" t="s">
        <v>793</v>
      </c>
      <c r="B735" s="1">
        <v>45445</v>
      </c>
      <c r="C735" t="s">
        <v>35</v>
      </c>
      <c r="D735" t="s">
        <v>65</v>
      </c>
      <c r="E735" t="s">
        <v>80</v>
      </c>
      <c r="F735">
        <v>5</v>
      </c>
      <c r="G735">
        <v>5471.5</v>
      </c>
      <c r="H735" s="5">
        <v>0.15</v>
      </c>
      <c r="I735" t="s">
        <v>55</v>
      </c>
      <c r="J735" t="s">
        <v>29</v>
      </c>
      <c r="K735" t="s">
        <v>18</v>
      </c>
      <c r="L735">
        <v>23253.88</v>
      </c>
      <c r="M735" s="2" t="str">
        <f t="shared" si="22"/>
        <v>Jun</v>
      </c>
      <c r="N735" s="2" t="str">
        <f t="shared" si="23"/>
        <v>high</v>
      </c>
      <c r="O735" s="2"/>
    </row>
    <row r="736" spans="1:15">
      <c r="A736" t="s">
        <v>794</v>
      </c>
      <c r="B736" s="1">
        <v>45631</v>
      </c>
      <c r="C736" t="s">
        <v>25</v>
      </c>
      <c r="D736" t="s">
        <v>31</v>
      </c>
      <c r="E736" t="s">
        <v>1160</v>
      </c>
      <c r="F736">
        <v>4</v>
      </c>
      <c r="G736">
        <v>3977.23</v>
      </c>
      <c r="H736" s="5">
        <v>0.2</v>
      </c>
      <c r="I736" t="s">
        <v>55</v>
      </c>
      <c r="J736" t="s">
        <v>29</v>
      </c>
      <c r="K736" t="s">
        <v>33</v>
      </c>
      <c r="L736">
        <v>12727.14</v>
      </c>
      <c r="M736" s="2" t="str">
        <f t="shared" si="22"/>
        <v>Dec</v>
      </c>
      <c r="N736" s="2" t="str">
        <f t="shared" si="23"/>
        <v>medium</v>
      </c>
      <c r="O736" s="2"/>
    </row>
    <row r="737" spans="1:15">
      <c r="A737" t="s">
        <v>795</v>
      </c>
      <c r="B737" s="1">
        <v>45396</v>
      </c>
      <c r="C737" t="s">
        <v>13</v>
      </c>
      <c r="D737" t="s">
        <v>14</v>
      </c>
      <c r="E737" t="s">
        <v>15</v>
      </c>
      <c r="F737">
        <v>6</v>
      </c>
      <c r="G737">
        <v>625.92999999999995</v>
      </c>
      <c r="H737" s="5">
        <v>0</v>
      </c>
      <c r="I737" t="s">
        <v>28</v>
      </c>
      <c r="J737" t="s">
        <v>17</v>
      </c>
      <c r="K737" t="s">
        <v>33</v>
      </c>
      <c r="L737">
        <v>3755.58</v>
      </c>
      <c r="M737" s="2" t="str">
        <f t="shared" si="22"/>
        <v>Apr</v>
      </c>
      <c r="N737" s="2" t="str">
        <f t="shared" si="23"/>
        <v>low</v>
      </c>
      <c r="O737" s="2"/>
    </row>
    <row r="738" spans="1:15">
      <c r="A738" t="s">
        <v>796</v>
      </c>
      <c r="B738" s="1">
        <v>45563</v>
      </c>
      <c r="C738" t="s">
        <v>20</v>
      </c>
      <c r="D738" t="s">
        <v>59</v>
      </c>
      <c r="E738" t="s">
        <v>53</v>
      </c>
      <c r="F738">
        <v>6</v>
      </c>
      <c r="G738">
        <v>4080.02</v>
      </c>
      <c r="H738" s="5">
        <v>0.05</v>
      </c>
      <c r="I738" t="s">
        <v>16</v>
      </c>
      <c r="J738" t="s">
        <v>40</v>
      </c>
      <c r="K738" t="s">
        <v>33</v>
      </c>
      <c r="L738">
        <v>23256.11</v>
      </c>
      <c r="M738" s="2" t="str">
        <f t="shared" si="22"/>
        <v>Sep</v>
      </c>
      <c r="N738" s="2" t="str">
        <f t="shared" si="23"/>
        <v>high</v>
      </c>
      <c r="O738" s="2"/>
    </row>
    <row r="739" spans="1:15">
      <c r="A739" t="s">
        <v>797</v>
      </c>
      <c r="B739" s="1">
        <v>45389</v>
      </c>
      <c r="C739" t="s">
        <v>13</v>
      </c>
      <c r="D739" t="s">
        <v>70</v>
      </c>
      <c r="E739" t="s">
        <v>80</v>
      </c>
      <c r="F739">
        <v>6</v>
      </c>
      <c r="G739">
        <v>5202.72</v>
      </c>
      <c r="H739" s="5">
        <v>0.1</v>
      </c>
      <c r="I739" t="s">
        <v>16</v>
      </c>
      <c r="J739" t="s">
        <v>49</v>
      </c>
      <c r="K739" t="s">
        <v>33</v>
      </c>
      <c r="L739">
        <v>28094.69</v>
      </c>
      <c r="M739" s="2" t="str">
        <f t="shared" si="22"/>
        <v>Apr</v>
      </c>
      <c r="N739" s="2" t="str">
        <f t="shared" si="23"/>
        <v>high</v>
      </c>
      <c r="O739" s="2"/>
    </row>
    <row r="740" spans="1:15">
      <c r="A740" t="s">
        <v>798</v>
      </c>
      <c r="B740" s="1">
        <v>45607</v>
      </c>
      <c r="C740" t="s">
        <v>35</v>
      </c>
      <c r="D740" t="s">
        <v>36</v>
      </c>
      <c r="E740" t="s">
        <v>15</v>
      </c>
      <c r="F740">
        <v>5</v>
      </c>
      <c r="G740">
        <v>3347.49</v>
      </c>
      <c r="H740" s="5">
        <v>0.1</v>
      </c>
      <c r="I740" t="s">
        <v>55</v>
      </c>
      <c r="J740" t="s">
        <v>49</v>
      </c>
      <c r="K740" t="s">
        <v>33</v>
      </c>
      <c r="L740">
        <v>15063.7</v>
      </c>
      <c r="M740" s="2" t="str">
        <f t="shared" si="22"/>
        <v>Nov</v>
      </c>
      <c r="N740" s="2" t="str">
        <f t="shared" si="23"/>
        <v>medium</v>
      </c>
      <c r="O740" s="2"/>
    </row>
    <row r="741" spans="1:15">
      <c r="A741" t="s">
        <v>799</v>
      </c>
      <c r="B741" s="1">
        <v>45391</v>
      </c>
      <c r="C741" t="s">
        <v>38</v>
      </c>
      <c r="D741" t="s">
        <v>164</v>
      </c>
      <c r="E741" t="s">
        <v>27</v>
      </c>
      <c r="F741">
        <v>3</v>
      </c>
      <c r="G741">
        <v>987.39</v>
      </c>
      <c r="H741" s="5">
        <v>0</v>
      </c>
      <c r="I741" t="s">
        <v>16</v>
      </c>
      <c r="J741" t="s">
        <v>29</v>
      </c>
      <c r="K741" t="s">
        <v>18</v>
      </c>
      <c r="L741">
        <v>2962.17</v>
      </c>
      <c r="M741" s="2" t="str">
        <f t="shared" si="22"/>
        <v>Apr</v>
      </c>
      <c r="N741" s="2" t="str">
        <f t="shared" si="23"/>
        <v>low</v>
      </c>
      <c r="O741" s="2"/>
    </row>
    <row r="742" spans="1:15">
      <c r="A742" t="s">
        <v>800</v>
      </c>
      <c r="B742" s="1">
        <v>45473</v>
      </c>
      <c r="C742" t="s">
        <v>13</v>
      </c>
      <c r="D742" t="s">
        <v>76</v>
      </c>
      <c r="E742" t="s">
        <v>80</v>
      </c>
      <c r="F742">
        <v>6</v>
      </c>
      <c r="G742">
        <v>4349.5</v>
      </c>
      <c r="H742" s="5">
        <v>0.1</v>
      </c>
      <c r="I742" t="s">
        <v>16</v>
      </c>
      <c r="J742" t="s">
        <v>29</v>
      </c>
      <c r="K742" t="s">
        <v>33</v>
      </c>
      <c r="L742">
        <v>23487.3</v>
      </c>
      <c r="M742" s="2" t="str">
        <f t="shared" si="22"/>
        <v>Jun</v>
      </c>
      <c r="N742" s="2" t="str">
        <f t="shared" si="23"/>
        <v>high</v>
      </c>
      <c r="O742" s="2"/>
    </row>
    <row r="743" spans="1:15">
      <c r="A743" t="s">
        <v>801</v>
      </c>
      <c r="B743" s="1">
        <v>45645</v>
      </c>
      <c r="C743" t="s">
        <v>35</v>
      </c>
      <c r="D743" t="s">
        <v>97</v>
      </c>
      <c r="E743" t="s">
        <v>47</v>
      </c>
      <c r="F743">
        <v>1</v>
      </c>
      <c r="G743">
        <v>1409.39</v>
      </c>
      <c r="H743" s="5">
        <v>0.2</v>
      </c>
      <c r="I743" t="s">
        <v>22</v>
      </c>
      <c r="J743" t="s">
        <v>17</v>
      </c>
      <c r="K743" t="s">
        <v>33</v>
      </c>
      <c r="L743">
        <v>1127.51</v>
      </c>
      <c r="M743" s="2" t="str">
        <f t="shared" si="22"/>
        <v>Dec</v>
      </c>
      <c r="N743" s="2" t="str">
        <f t="shared" si="23"/>
        <v>low</v>
      </c>
      <c r="O743" s="2"/>
    </row>
    <row r="744" spans="1:15">
      <c r="A744" t="s">
        <v>802</v>
      </c>
      <c r="B744" s="1">
        <v>45495</v>
      </c>
      <c r="C744" t="s">
        <v>25</v>
      </c>
      <c r="D744" t="s">
        <v>94</v>
      </c>
      <c r="E744" t="s">
        <v>44</v>
      </c>
      <c r="F744">
        <v>3</v>
      </c>
      <c r="G744">
        <v>7150.74</v>
      </c>
      <c r="H744" s="5">
        <v>0.15</v>
      </c>
      <c r="I744" t="s">
        <v>16</v>
      </c>
      <c r="J744" t="s">
        <v>23</v>
      </c>
      <c r="K744" t="s">
        <v>33</v>
      </c>
      <c r="L744">
        <v>18234.39</v>
      </c>
      <c r="M744" s="2" t="str">
        <f t="shared" si="22"/>
        <v>Jul</v>
      </c>
      <c r="N744" s="2" t="str">
        <f t="shared" si="23"/>
        <v>medium</v>
      </c>
      <c r="O744" s="2"/>
    </row>
    <row r="745" spans="1:15">
      <c r="A745" t="s">
        <v>803</v>
      </c>
      <c r="B745" s="1">
        <v>45588</v>
      </c>
      <c r="C745" t="s">
        <v>20</v>
      </c>
      <c r="D745" t="s">
        <v>59</v>
      </c>
      <c r="E745" t="s">
        <v>53</v>
      </c>
      <c r="F745">
        <v>5</v>
      </c>
      <c r="G745">
        <v>6220.22</v>
      </c>
      <c r="H745" s="5">
        <v>0</v>
      </c>
      <c r="I745" t="s">
        <v>28</v>
      </c>
      <c r="J745" t="s">
        <v>23</v>
      </c>
      <c r="K745" t="s">
        <v>33</v>
      </c>
      <c r="L745">
        <v>31101.1</v>
      </c>
      <c r="M745" s="2" t="str">
        <f t="shared" si="22"/>
        <v>Oct</v>
      </c>
      <c r="N745" s="2" t="str">
        <f t="shared" si="23"/>
        <v>high</v>
      </c>
      <c r="O745" s="2"/>
    </row>
    <row r="746" spans="1:15">
      <c r="A746" t="s">
        <v>804</v>
      </c>
      <c r="B746" s="1">
        <v>45460</v>
      </c>
      <c r="C746" t="s">
        <v>20</v>
      </c>
      <c r="D746" t="s">
        <v>57</v>
      </c>
      <c r="E746" t="s">
        <v>27</v>
      </c>
      <c r="F746">
        <v>3</v>
      </c>
      <c r="G746">
        <v>3242.23</v>
      </c>
      <c r="H746" s="5">
        <v>0.25</v>
      </c>
      <c r="I746" t="s">
        <v>22</v>
      </c>
      <c r="J746" t="s">
        <v>17</v>
      </c>
      <c r="K746" t="s">
        <v>33</v>
      </c>
      <c r="L746">
        <v>7295.02</v>
      </c>
      <c r="M746" s="2" t="str">
        <f t="shared" si="22"/>
        <v>Jun</v>
      </c>
      <c r="N746" s="2" t="str">
        <f t="shared" si="23"/>
        <v>low</v>
      </c>
      <c r="O746" s="2"/>
    </row>
    <row r="747" spans="1:15">
      <c r="A747" t="s">
        <v>805</v>
      </c>
      <c r="B747" s="1">
        <v>45588</v>
      </c>
      <c r="C747" t="s">
        <v>13</v>
      </c>
      <c r="D747" t="s">
        <v>70</v>
      </c>
      <c r="E747" t="s">
        <v>44</v>
      </c>
      <c r="F747">
        <v>1</v>
      </c>
      <c r="G747">
        <v>1631.08</v>
      </c>
      <c r="H747" s="5">
        <v>0.2</v>
      </c>
      <c r="I747" t="s">
        <v>22</v>
      </c>
      <c r="J747" t="s">
        <v>40</v>
      </c>
      <c r="K747" t="s">
        <v>33</v>
      </c>
      <c r="L747">
        <v>1304.8599999999999</v>
      </c>
      <c r="M747" s="2" t="str">
        <f t="shared" si="22"/>
        <v>Oct</v>
      </c>
      <c r="N747" s="2" t="str">
        <f t="shared" si="23"/>
        <v>low</v>
      </c>
      <c r="O747" s="2"/>
    </row>
    <row r="748" spans="1:15">
      <c r="A748" t="s">
        <v>806</v>
      </c>
      <c r="B748" s="1">
        <v>45575</v>
      </c>
      <c r="C748" t="s">
        <v>38</v>
      </c>
      <c r="D748" t="s">
        <v>100</v>
      </c>
      <c r="E748" t="s">
        <v>53</v>
      </c>
      <c r="F748">
        <v>1</v>
      </c>
      <c r="G748">
        <v>1072.6300000000001</v>
      </c>
      <c r="H748" s="5">
        <v>0</v>
      </c>
      <c r="I748" t="s">
        <v>22</v>
      </c>
      <c r="J748" t="s">
        <v>40</v>
      </c>
      <c r="K748" t="s">
        <v>33</v>
      </c>
      <c r="L748">
        <v>1072.6300000000001</v>
      </c>
      <c r="M748" s="2" t="str">
        <f t="shared" si="22"/>
        <v>Oct</v>
      </c>
      <c r="N748" s="2" t="str">
        <f t="shared" si="23"/>
        <v>low</v>
      </c>
      <c r="O748" s="2"/>
    </row>
    <row r="749" spans="1:15">
      <c r="A749" t="s">
        <v>807</v>
      </c>
      <c r="B749" s="1">
        <v>45522</v>
      </c>
      <c r="C749" t="s">
        <v>20</v>
      </c>
      <c r="D749" t="s">
        <v>57</v>
      </c>
      <c r="E749" t="s">
        <v>53</v>
      </c>
      <c r="F749">
        <v>6</v>
      </c>
      <c r="G749">
        <v>947.77</v>
      </c>
      <c r="H749" s="5">
        <v>0.1</v>
      </c>
      <c r="I749" t="s">
        <v>55</v>
      </c>
      <c r="J749" t="s">
        <v>23</v>
      </c>
      <c r="K749" t="s">
        <v>33</v>
      </c>
      <c r="L749">
        <f>(F749*G749)-(F749*G749)*H749</f>
        <v>5117.9579999999996</v>
      </c>
      <c r="M749" s="2" t="str">
        <f t="shared" si="22"/>
        <v>Aug</v>
      </c>
      <c r="N749" s="2" t="str">
        <f t="shared" si="23"/>
        <v>low</v>
      </c>
      <c r="O749" s="2"/>
    </row>
    <row r="750" spans="1:15">
      <c r="A750" t="s">
        <v>808</v>
      </c>
      <c r="B750" s="1">
        <v>45576</v>
      </c>
      <c r="C750" t="s">
        <v>20</v>
      </c>
      <c r="D750" t="s">
        <v>21</v>
      </c>
      <c r="E750" t="s">
        <v>53</v>
      </c>
      <c r="F750">
        <v>5</v>
      </c>
      <c r="G750">
        <v>5961.89</v>
      </c>
      <c r="H750" s="5">
        <v>0.1</v>
      </c>
      <c r="I750" t="s">
        <v>28</v>
      </c>
      <c r="J750" t="s">
        <v>17</v>
      </c>
      <c r="K750" t="s">
        <v>33</v>
      </c>
      <c r="L750">
        <v>26828.51</v>
      </c>
      <c r="M750" s="2" t="str">
        <f t="shared" si="22"/>
        <v>Oct</v>
      </c>
      <c r="N750" s="2" t="str">
        <f t="shared" si="23"/>
        <v>high</v>
      </c>
      <c r="O750" s="2"/>
    </row>
    <row r="751" spans="1:15">
      <c r="A751" t="s">
        <v>809</v>
      </c>
      <c r="B751" s="1">
        <v>45381</v>
      </c>
      <c r="C751" t="s">
        <v>35</v>
      </c>
      <c r="D751" t="s">
        <v>68</v>
      </c>
      <c r="E751" t="s">
        <v>47</v>
      </c>
      <c r="F751">
        <v>5</v>
      </c>
      <c r="G751">
        <v>2627.39</v>
      </c>
      <c r="H751" s="5">
        <v>0.15</v>
      </c>
      <c r="I751" t="s">
        <v>55</v>
      </c>
      <c r="J751" t="s">
        <v>40</v>
      </c>
      <c r="K751" t="s">
        <v>18</v>
      </c>
      <c r="L751">
        <v>11166.41</v>
      </c>
      <c r="M751" s="2" t="str">
        <f t="shared" si="22"/>
        <v>Mar</v>
      </c>
      <c r="N751" s="2" t="str">
        <f t="shared" si="23"/>
        <v>medium</v>
      </c>
      <c r="O751" s="2"/>
    </row>
    <row r="752" spans="1:15">
      <c r="A752" t="s">
        <v>810</v>
      </c>
      <c r="B752" s="1">
        <v>45529</v>
      </c>
      <c r="C752" t="s">
        <v>20</v>
      </c>
      <c r="D752" t="s">
        <v>78</v>
      </c>
      <c r="E752" t="s">
        <v>47</v>
      </c>
      <c r="F752">
        <v>2</v>
      </c>
      <c r="G752">
        <v>1055.25</v>
      </c>
      <c r="H752" s="5">
        <v>0.15</v>
      </c>
      <c r="I752" t="s">
        <v>28</v>
      </c>
      <c r="J752" t="s">
        <v>17</v>
      </c>
      <c r="K752" t="s">
        <v>33</v>
      </c>
      <c r="L752">
        <v>1793.92</v>
      </c>
      <c r="M752" s="2" t="str">
        <f t="shared" si="22"/>
        <v>Aug</v>
      </c>
      <c r="N752" s="2" t="str">
        <f t="shared" si="23"/>
        <v>low</v>
      </c>
      <c r="O752" s="2"/>
    </row>
    <row r="753" spans="1:15">
      <c r="A753" t="s">
        <v>811</v>
      </c>
      <c r="B753" s="1">
        <v>45461</v>
      </c>
      <c r="C753" t="s">
        <v>25</v>
      </c>
      <c r="D753" t="s">
        <v>94</v>
      </c>
      <c r="E753" t="s">
        <v>53</v>
      </c>
      <c r="F753">
        <v>4</v>
      </c>
      <c r="G753">
        <v>410.3</v>
      </c>
      <c r="H753" s="5">
        <v>0.25</v>
      </c>
      <c r="I753" t="s">
        <v>16</v>
      </c>
      <c r="J753" t="s">
        <v>23</v>
      </c>
      <c r="K753" t="s">
        <v>33</v>
      </c>
      <c r="L753">
        <v>1230.9000000000001</v>
      </c>
      <c r="M753" s="2" t="str">
        <f t="shared" si="22"/>
        <v>Jun</v>
      </c>
      <c r="N753" s="2" t="str">
        <f t="shared" si="23"/>
        <v>low</v>
      </c>
      <c r="O753" s="2"/>
    </row>
    <row r="754" spans="1:15">
      <c r="A754" t="s">
        <v>812</v>
      </c>
      <c r="B754" s="1">
        <v>45628</v>
      </c>
      <c r="C754" t="s">
        <v>13</v>
      </c>
      <c r="D754" t="s">
        <v>14</v>
      </c>
      <c r="E754" t="s">
        <v>80</v>
      </c>
      <c r="F754">
        <v>2</v>
      </c>
      <c r="G754">
        <v>5574.14</v>
      </c>
      <c r="H754" s="5">
        <v>0.2</v>
      </c>
      <c r="I754" t="s">
        <v>28</v>
      </c>
      <c r="J754" t="s">
        <v>17</v>
      </c>
      <c r="K754" t="s">
        <v>33</v>
      </c>
      <c r="L754">
        <v>8918.6200000000008</v>
      </c>
      <c r="M754" s="2" t="str">
        <f t="shared" si="22"/>
        <v>Dec</v>
      </c>
      <c r="N754" s="2" t="str">
        <f t="shared" si="23"/>
        <v>low</v>
      </c>
      <c r="O754" s="2"/>
    </row>
    <row r="755" spans="1:15">
      <c r="A755" t="s">
        <v>813</v>
      </c>
      <c r="B755" s="1">
        <v>45330</v>
      </c>
      <c r="C755" t="s">
        <v>25</v>
      </c>
      <c r="D755" t="s">
        <v>31</v>
      </c>
      <c r="E755" t="s">
        <v>27</v>
      </c>
      <c r="F755">
        <v>6</v>
      </c>
      <c r="G755">
        <v>6336.35</v>
      </c>
      <c r="H755" s="5">
        <v>0</v>
      </c>
      <c r="I755" t="s">
        <v>16</v>
      </c>
      <c r="J755" t="s">
        <v>29</v>
      </c>
      <c r="K755" t="s">
        <v>18</v>
      </c>
      <c r="L755">
        <v>38018.1</v>
      </c>
      <c r="M755" s="2" t="str">
        <f t="shared" si="22"/>
        <v>Feb</v>
      </c>
      <c r="N755" s="2" t="str">
        <f t="shared" si="23"/>
        <v>high</v>
      </c>
      <c r="O755" s="2"/>
    </row>
    <row r="756" spans="1:15">
      <c r="A756" t="s">
        <v>814</v>
      </c>
      <c r="B756" s="1">
        <v>45521</v>
      </c>
      <c r="C756" t="s">
        <v>38</v>
      </c>
      <c r="D756" t="s">
        <v>51</v>
      </c>
      <c r="E756" t="s">
        <v>53</v>
      </c>
      <c r="F756">
        <v>6</v>
      </c>
      <c r="G756">
        <v>7295.04</v>
      </c>
      <c r="H756" s="5">
        <v>0.2</v>
      </c>
      <c r="I756" t="s">
        <v>16</v>
      </c>
      <c r="J756" t="s">
        <v>40</v>
      </c>
      <c r="K756" t="s">
        <v>33</v>
      </c>
      <c r="L756">
        <v>35016.19</v>
      </c>
      <c r="M756" s="2" t="str">
        <f t="shared" si="22"/>
        <v>Aug</v>
      </c>
      <c r="N756" s="2" t="str">
        <f t="shared" si="23"/>
        <v>high</v>
      </c>
      <c r="O756" s="2"/>
    </row>
    <row r="757" spans="1:15">
      <c r="A757" t="s">
        <v>815</v>
      </c>
      <c r="B757" s="1">
        <v>45511</v>
      </c>
      <c r="C757" t="s">
        <v>38</v>
      </c>
      <c r="D757" t="s">
        <v>39</v>
      </c>
      <c r="E757" t="s">
        <v>1160</v>
      </c>
      <c r="F757">
        <v>1</v>
      </c>
      <c r="G757">
        <v>1583.41</v>
      </c>
      <c r="H757" s="5">
        <v>0.2</v>
      </c>
      <c r="I757" t="s">
        <v>28</v>
      </c>
      <c r="J757" t="s">
        <v>29</v>
      </c>
      <c r="K757" t="s">
        <v>18</v>
      </c>
      <c r="L757">
        <v>1266.73</v>
      </c>
      <c r="M757" s="2" t="str">
        <f t="shared" si="22"/>
        <v>Aug</v>
      </c>
      <c r="N757" s="2" t="str">
        <f t="shared" si="23"/>
        <v>low</v>
      </c>
      <c r="O757" s="2"/>
    </row>
    <row r="758" spans="1:15">
      <c r="A758" t="s">
        <v>816</v>
      </c>
      <c r="B758" s="1">
        <v>45562</v>
      </c>
      <c r="C758" t="s">
        <v>20</v>
      </c>
      <c r="D758" t="s">
        <v>59</v>
      </c>
      <c r="E758" t="s">
        <v>47</v>
      </c>
      <c r="F758">
        <v>6</v>
      </c>
      <c r="G758">
        <v>5381.42</v>
      </c>
      <c r="H758" s="5">
        <v>0</v>
      </c>
      <c r="I758" t="s">
        <v>16</v>
      </c>
      <c r="J758" t="s">
        <v>29</v>
      </c>
      <c r="K758" t="s">
        <v>33</v>
      </c>
      <c r="L758">
        <v>32288.52</v>
      </c>
      <c r="M758" s="2" t="str">
        <f t="shared" si="22"/>
        <v>Sep</v>
      </c>
      <c r="N758" s="2" t="str">
        <f t="shared" si="23"/>
        <v>high</v>
      </c>
      <c r="O758" s="2"/>
    </row>
    <row r="759" spans="1:15">
      <c r="A759" t="s">
        <v>817</v>
      </c>
      <c r="B759" s="1">
        <v>45319</v>
      </c>
      <c r="C759" t="s">
        <v>38</v>
      </c>
      <c r="D759" t="s">
        <v>51</v>
      </c>
      <c r="E759" t="s">
        <v>44</v>
      </c>
      <c r="F759">
        <v>3</v>
      </c>
      <c r="G759">
        <v>6417.96</v>
      </c>
      <c r="H759" s="5">
        <v>0.25</v>
      </c>
      <c r="I759" t="s">
        <v>28</v>
      </c>
      <c r="J759" t="s">
        <v>40</v>
      </c>
      <c r="K759" t="s">
        <v>33</v>
      </c>
      <c r="L759">
        <v>14440.41</v>
      </c>
      <c r="M759" s="2" t="str">
        <f t="shared" si="22"/>
        <v>Jan</v>
      </c>
      <c r="N759" s="2" t="str">
        <f t="shared" si="23"/>
        <v>medium</v>
      </c>
      <c r="O759" s="2"/>
    </row>
    <row r="760" spans="1:15">
      <c r="A760" t="s">
        <v>818</v>
      </c>
      <c r="B760" s="1">
        <v>45369</v>
      </c>
      <c r="C760" t="s">
        <v>35</v>
      </c>
      <c r="D760" t="s">
        <v>65</v>
      </c>
      <c r="E760" t="s">
        <v>53</v>
      </c>
      <c r="F760">
        <v>6</v>
      </c>
      <c r="G760">
        <v>7765.69</v>
      </c>
      <c r="H760" s="5">
        <v>0.05</v>
      </c>
      <c r="I760" t="s">
        <v>55</v>
      </c>
      <c r="J760" t="s">
        <v>49</v>
      </c>
      <c r="K760" t="s">
        <v>18</v>
      </c>
      <c r="L760">
        <v>44264.43</v>
      </c>
      <c r="M760" s="2" t="str">
        <f t="shared" si="22"/>
        <v>Mar</v>
      </c>
      <c r="N760" s="2" t="str">
        <f t="shared" si="23"/>
        <v>high</v>
      </c>
      <c r="O760" s="2"/>
    </row>
    <row r="761" spans="1:15">
      <c r="A761" t="s">
        <v>819</v>
      </c>
      <c r="B761" s="1">
        <v>45351</v>
      </c>
      <c r="C761" t="s">
        <v>25</v>
      </c>
      <c r="D761" t="s">
        <v>31</v>
      </c>
      <c r="E761" t="s">
        <v>32</v>
      </c>
      <c r="F761">
        <v>6</v>
      </c>
      <c r="G761">
        <v>5322.74</v>
      </c>
      <c r="H761" s="5">
        <v>0.1</v>
      </c>
      <c r="I761" t="s">
        <v>55</v>
      </c>
      <c r="J761" t="s">
        <v>29</v>
      </c>
      <c r="K761" t="s">
        <v>33</v>
      </c>
      <c r="L761">
        <v>28742.799999999999</v>
      </c>
      <c r="M761" s="2" t="str">
        <f t="shared" si="22"/>
        <v>Feb</v>
      </c>
      <c r="N761" s="2" t="str">
        <f t="shared" si="23"/>
        <v>high</v>
      </c>
      <c r="O761" s="2"/>
    </row>
    <row r="762" spans="1:15">
      <c r="A762" t="s">
        <v>820</v>
      </c>
      <c r="B762" s="1">
        <v>45551</v>
      </c>
      <c r="C762" t="s">
        <v>25</v>
      </c>
      <c r="D762" t="s">
        <v>87</v>
      </c>
      <c r="E762" t="s">
        <v>53</v>
      </c>
      <c r="F762">
        <v>3</v>
      </c>
      <c r="G762">
        <v>3361.01</v>
      </c>
      <c r="H762" s="5">
        <v>0.05</v>
      </c>
      <c r="I762" t="s">
        <v>16</v>
      </c>
      <c r="J762" t="s">
        <v>49</v>
      </c>
      <c r="K762" t="s">
        <v>18</v>
      </c>
      <c r="L762">
        <v>9578.8799999999992</v>
      </c>
      <c r="M762" s="2" t="str">
        <f t="shared" si="22"/>
        <v>Sep</v>
      </c>
      <c r="N762" s="2" t="str">
        <f t="shared" si="23"/>
        <v>low</v>
      </c>
      <c r="O762" s="2"/>
    </row>
    <row r="763" spans="1:15">
      <c r="A763" t="s">
        <v>821</v>
      </c>
      <c r="B763" s="1">
        <v>45515</v>
      </c>
      <c r="C763" t="s">
        <v>13</v>
      </c>
      <c r="D763" t="s">
        <v>76</v>
      </c>
      <c r="E763" t="s">
        <v>1160</v>
      </c>
      <c r="F763">
        <v>6</v>
      </c>
      <c r="G763">
        <v>991.28</v>
      </c>
      <c r="H763" s="5">
        <v>0.1</v>
      </c>
      <c r="I763" t="s">
        <v>16</v>
      </c>
      <c r="J763" t="s">
        <v>49</v>
      </c>
      <c r="K763" t="s">
        <v>33</v>
      </c>
      <c r="L763">
        <v>5352.91</v>
      </c>
      <c r="M763" s="2" t="str">
        <f t="shared" si="22"/>
        <v>Aug</v>
      </c>
      <c r="N763" s="2" t="str">
        <f t="shared" si="23"/>
        <v>low</v>
      </c>
      <c r="O763" s="2"/>
    </row>
    <row r="764" spans="1:15">
      <c r="A764" t="s">
        <v>822</v>
      </c>
      <c r="B764" s="1">
        <v>45463</v>
      </c>
      <c r="C764" t="s">
        <v>38</v>
      </c>
      <c r="D764" t="s">
        <v>51</v>
      </c>
      <c r="E764" t="s">
        <v>1160</v>
      </c>
      <c r="F764">
        <v>4</v>
      </c>
      <c r="G764">
        <v>7051.6</v>
      </c>
      <c r="H764" s="5">
        <v>0</v>
      </c>
      <c r="I764" t="s">
        <v>28</v>
      </c>
      <c r="J764" t="s">
        <v>40</v>
      </c>
      <c r="K764" t="s">
        <v>33</v>
      </c>
      <c r="L764">
        <f>(F764*G764)-(F764*G764)*H764</f>
        <v>28206.400000000001</v>
      </c>
      <c r="M764" s="2" t="str">
        <f t="shared" si="22"/>
        <v>Jun</v>
      </c>
      <c r="N764" s="2" t="str">
        <f t="shared" si="23"/>
        <v>high</v>
      </c>
      <c r="O764" s="2"/>
    </row>
    <row r="765" spans="1:15">
      <c r="A765" t="s">
        <v>823</v>
      </c>
      <c r="B765" s="1">
        <v>45544</v>
      </c>
      <c r="C765" t="s">
        <v>13</v>
      </c>
      <c r="D765" t="s">
        <v>74</v>
      </c>
      <c r="E765" t="s">
        <v>44</v>
      </c>
      <c r="F765">
        <v>1</v>
      </c>
      <c r="G765">
        <v>3469.33</v>
      </c>
      <c r="H765" s="5">
        <v>0.2</v>
      </c>
      <c r="I765" t="s">
        <v>16</v>
      </c>
      <c r="J765" t="s">
        <v>49</v>
      </c>
      <c r="K765" t="s">
        <v>33</v>
      </c>
      <c r="L765">
        <v>2775.46</v>
      </c>
      <c r="M765" s="2" t="str">
        <f t="shared" si="22"/>
        <v>Sep</v>
      </c>
      <c r="N765" s="2" t="str">
        <f t="shared" si="23"/>
        <v>low</v>
      </c>
      <c r="O765" s="2"/>
    </row>
    <row r="766" spans="1:15">
      <c r="A766" t="s">
        <v>824</v>
      </c>
      <c r="B766" s="1">
        <v>45594</v>
      </c>
      <c r="C766" t="s">
        <v>13</v>
      </c>
      <c r="D766" t="s">
        <v>70</v>
      </c>
      <c r="E766" t="s">
        <v>32</v>
      </c>
      <c r="F766">
        <v>2</v>
      </c>
      <c r="G766">
        <v>5654.71</v>
      </c>
      <c r="H766" s="5">
        <v>0.25</v>
      </c>
      <c r="I766" t="s">
        <v>16</v>
      </c>
      <c r="J766" t="s">
        <v>29</v>
      </c>
      <c r="K766" t="s">
        <v>33</v>
      </c>
      <c r="L766">
        <v>8482.07</v>
      </c>
      <c r="M766" s="2" t="str">
        <f t="shared" si="22"/>
        <v>Oct</v>
      </c>
      <c r="N766" s="2" t="str">
        <f t="shared" si="23"/>
        <v>low</v>
      </c>
      <c r="O766" s="2"/>
    </row>
    <row r="767" spans="1:15">
      <c r="A767" t="s">
        <v>825</v>
      </c>
      <c r="B767" s="1">
        <v>45352</v>
      </c>
      <c r="C767" t="s">
        <v>20</v>
      </c>
      <c r="D767" t="s">
        <v>57</v>
      </c>
      <c r="E767" t="s">
        <v>27</v>
      </c>
      <c r="F767">
        <v>1</v>
      </c>
      <c r="G767">
        <v>2784.11</v>
      </c>
      <c r="H767" s="5">
        <v>0.15</v>
      </c>
      <c r="I767" t="s">
        <v>55</v>
      </c>
      <c r="J767" t="s">
        <v>17</v>
      </c>
      <c r="K767" t="s">
        <v>33</v>
      </c>
      <c r="L767">
        <v>2366.4899999999998</v>
      </c>
      <c r="M767" s="2" t="str">
        <f t="shared" si="22"/>
        <v>Mar</v>
      </c>
      <c r="N767" s="2" t="str">
        <f t="shared" si="23"/>
        <v>low</v>
      </c>
      <c r="O767" s="2"/>
    </row>
    <row r="768" spans="1:15">
      <c r="A768" t="s">
        <v>826</v>
      </c>
      <c r="B768" s="1">
        <v>45607</v>
      </c>
      <c r="C768" t="s">
        <v>20</v>
      </c>
      <c r="D768" t="s">
        <v>61</v>
      </c>
      <c r="E768" t="s">
        <v>80</v>
      </c>
      <c r="F768">
        <v>6</v>
      </c>
      <c r="G768">
        <v>348.78</v>
      </c>
      <c r="H768" s="5">
        <v>0.25</v>
      </c>
      <c r="I768" t="s">
        <v>16</v>
      </c>
      <c r="J768" t="s">
        <v>29</v>
      </c>
      <c r="K768" t="s">
        <v>33</v>
      </c>
      <c r="L768">
        <v>1569.51</v>
      </c>
      <c r="M768" s="2" t="str">
        <f t="shared" si="22"/>
        <v>Nov</v>
      </c>
      <c r="N768" s="2" t="str">
        <f t="shared" si="23"/>
        <v>low</v>
      </c>
      <c r="O768" s="2"/>
    </row>
    <row r="769" spans="1:15">
      <c r="A769" t="s">
        <v>827</v>
      </c>
      <c r="B769" s="1">
        <v>45369</v>
      </c>
      <c r="C769" t="s">
        <v>25</v>
      </c>
      <c r="D769" t="s">
        <v>87</v>
      </c>
      <c r="E769" t="s">
        <v>15</v>
      </c>
      <c r="F769">
        <v>6</v>
      </c>
      <c r="G769">
        <v>5501.13</v>
      </c>
      <c r="H769" s="5">
        <v>0.05</v>
      </c>
      <c r="I769" t="s">
        <v>22</v>
      </c>
      <c r="J769" t="s">
        <v>29</v>
      </c>
      <c r="K769" t="s">
        <v>33</v>
      </c>
      <c r="L769">
        <v>31356.44</v>
      </c>
      <c r="M769" s="2" t="str">
        <f t="shared" si="22"/>
        <v>Mar</v>
      </c>
      <c r="N769" s="2" t="str">
        <f t="shared" si="23"/>
        <v>high</v>
      </c>
      <c r="O769" s="2"/>
    </row>
    <row r="770" spans="1:15">
      <c r="A770" t="s">
        <v>828</v>
      </c>
      <c r="B770" s="1">
        <v>45424</v>
      </c>
      <c r="C770" t="s">
        <v>25</v>
      </c>
      <c r="D770" t="s">
        <v>31</v>
      </c>
      <c r="E770" t="s">
        <v>80</v>
      </c>
      <c r="F770">
        <v>4</v>
      </c>
      <c r="G770">
        <v>2738.44</v>
      </c>
      <c r="H770" s="5">
        <v>0.1</v>
      </c>
      <c r="I770" t="s">
        <v>55</v>
      </c>
      <c r="J770" t="s">
        <v>23</v>
      </c>
      <c r="K770" t="s">
        <v>33</v>
      </c>
      <c r="L770">
        <v>9858.3799999999992</v>
      </c>
      <c r="M770" s="2" t="str">
        <f t="shared" ref="M770:M833" si="24">TEXT(B770,"mmm")</f>
        <v>May</v>
      </c>
      <c r="N770" s="2" t="str">
        <f t="shared" ref="N770:N833" si="25">IF(L770&gt;20000,"high",IF(L770&gt;10000,"medium","low"))</f>
        <v>low</v>
      </c>
      <c r="O770" s="2"/>
    </row>
    <row r="771" spans="1:15">
      <c r="A771" t="s">
        <v>829</v>
      </c>
      <c r="B771" s="1">
        <v>45583</v>
      </c>
      <c r="C771" t="s">
        <v>13</v>
      </c>
      <c r="D771" t="s">
        <v>76</v>
      </c>
      <c r="E771" t="s">
        <v>32</v>
      </c>
      <c r="F771">
        <v>5</v>
      </c>
      <c r="G771">
        <v>3963.19</v>
      </c>
      <c r="H771" s="5">
        <v>0</v>
      </c>
      <c r="I771" t="s">
        <v>55</v>
      </c>
      <c r="J771" t="s">
        <v>23</v>
      </c>
      <c r="K771" t="s">
        <v>18</v>
      </c>
      <c r="L771">
        <v>19815.95</v>
      </c>
      <c r="M771" s="2" t="str">
        <f t="shared" si="24"/>
        <v>Oct</v>
      </c>
      <c r="N771" s="2" t="str">
        <f t="shared" si="25"/>
        <v>medium</v>
      </c>
      <c r="O771" s="2"/>
    </row>
    <row r="772" spans="1:15">
      <c r="A772" t="s">
        <v>830</v>
      </c>
      <c r="B772" s="1">
        <v>45468</v>
      </c>
      <c r="C772" t="s">
        <v>25</v>
      </c>
      <c r="D772" t="s">
        <v>26</v>
      </c>
      <c r="E772" t="s">
        <v>15</v>
      </c>
      <c r="F772">
        <v>6</v>
      </c>
      <c r="G772">
        <v>3952.36</v>
      </c>
      <c r="H772" s="5">
        <v>0</v>
      </c>
      <c r="I772" t="s">
        <v>28</v>
      </c>
      <c r="J772" t="s">
        <v>29</v>
      </c>
      <c r="K772" t="s">
        <v>33</v>
      </c>
      <c r="L772">
        <v>23714.16</v>
      </c>
      <c r="M772" s="2" t="str">
        <f t="shared" si="24"/>
        <v>Jun</v>
      </c>
      <c r="N772" s="2" t="str">
        <f t="shared" si="25"/>
        <v>high</v>
      </c>
      <c r="O772" s="2"/>
    </row>
    <row r="773" spans="1:15">
      <c r="A773" t="s">
        <v>831</v>
      </c>
      <c r="B773" s="1">
        <v>45342</v>
      </c>
      <c r="C773" t="s">
        <v>25</v>
      </c>
      <c r="D773" t="s">
        <v>94</v>
      </c>
      <c r="E773" t="s">
        <v>27</v>
      </c>
      <c r="F773">
        <v>3</v>
      </c>
      <c r="G773">
        <v>7145.66</v>
      </c>
      <c r="H773" s="5">
        <v>0</v>
      </c>
      <c r="I773" t="s">
        <v>28</v>
      </c>
      <c r="J773" t="s">
        <v>17</v>
      </c>
      <c r="K773" t="s">
        <v>33</v>
      </c>
      <c r="L773">
        <v>21436.98</v>
      </c>
      <c r="M773" s="2" t="str">
        <f t="shared" si="24"/>
        <v>Feb</v>
      </c>
      <c r="N773" s="2" t="str">
        <f t="shared" si="25"/>
        <v>high</v>
      </c>
      <c r="O773" s="2"/>
    </row>
    <row r="774" spans="1:15">
      <c r="A774" t="s">
        <v>832</v>
      </c>
      <c r="B774" s="1">
        <v>45301</v>
      </c>
      <c r="C774" t="s">
        <v>35</v>
      </c>
      <c r="D774" t="s">
        <v>36</v>
      </c>
      <c r="E774" t="s">
        <v>53</v>
      </c>
      <c r="F774">
        <v>3</v>
      </c>
      <c r="G774">
        <v>7538.77</v>
      </c>
      <c r="H774" s="5">
        <v>0.1</v>
      </c>
      <c r="I774" t="s">
        <v>16</v>
      </c>
      <c r="J774" t="s">
        <v>17</v>
      </c>
      <c r="K774" t="s">
        <v>33</v>
      </c>
      <c r="L774">
        <f>(F774*G774)-(F774*G774)*H774</f>
        <v>20354.679</v>
      </c>
      <c r="M774" s="2" t="str">
        <f t="shared" si="24"/>
        <v>Jan</v>
      </c>
      <c r="N774" s="2" t="str">
        <f t="shared" si="25"/>
        <v>high</v>
      </c>
      <c r="O774" s="2"/>
    </row>
    <row r="775" spans="1:15">
      <c r="A775" t="s">
        <v>833</v>
      </c>
      <c r="B775" s="1">
        <v>45297</v>
      </c>
      <c r="C775" t="s">
        <v>25</v>
      </c>
      <c r="D775" t="s">
        <v>31</v>
      </c>
      <c r="E775" t="s">
        <v>47</v>
      </c>
      <c r="F775">
        <v>5</v>
      </c>
      <c r="G775">
        <v>2405.61</v>
      </c>
      <c r="H775" s="5">
        <v>0.1</v>
      </c>
      <c r="I775" t="s">
        <v>55</v>
      </c>
      <c r="J775" t="s">
        <v>29</v>
      </c>
      <c r="K775" t="s">
        <v>33</v>
      </c>
      <c r="L775">
        <v>10825.25</v>
      </c>
      <c r="M775" s="2" t="str">
        <f t="shared" si="24"/>
        <v>Jan</v>
      </c>
      <c r="N775" s="2" t="str">
        <f t="shared" si="25"/>
        <v>medium</v>
      </c>
      <c r="O775" s="2"/>
    </row>
    <row r="776" spans="1:15">
      <c r="A776" t="s">
        <v>834</v>
      </c>
      <c r="B776" s="1">
        <v>45426</v>
      </c>
      <c r="C776" t="s">
        <v>25</v>
      </c>
      <c r="D776" t="s">
        <v>26</v>
      </c>
      <c r="E776" t="s">
        <v>15</v>
      </c>
      <c r="F776">
        <v>6</v>
      </c>
      <c r="G776">
        <v>5706.52</v>
      </c>
      <c r="H776" s="5">
        <v>0.05</v>
      </c>
      <c r="I776" t="s">
        <v>16</v>
      </c>
      <c r="J776" t="s">
        <v>17</v>
      </c>
      <c r="K776" t="s">
        <v>18</v>
      </c>
      <c r="L776">
        <v>32527.16</v>
      </c>
      <c r="M776" s="2" t="str">
        <f t="shared" si="24"/>
        <v>May</v>
      </c>
      <c r="N776" s="2" t="str">
        <f t="shared" si="25"/>
        <v>high</v>
      </c>
      <c r="O776" s="2"/>
    </row>
    <row r="777" spans="1:15">
      <c r="A777" t="s">
        <v>835</v>
      </c>
      <c r="B777" s="1">
        <v>45652</v>
      </c>
      <c r="C777" t="s">
        <v>13</v>
      </c>
      <c r="D777" t="s">
        <v>76</v>
      </c>
      <c r="E777" t="s">
        <v>47</v>
      </c>
      <c r="F777">
        <v>2</v>
      </c>
      <c r="G777">
        <v>664.28</v>
      </c>
      <c r="H777" s="5">
        <v>0.1</v>
      </c>
      <c r="I777" t="s">
        <v>16</v>
      </c>
      <c r="J777" t="s">
        <v>23</v>
      </c>
      <c r="K777" t="s">
        <v>33</v>
      </c>
      <c r="L777">
        <v>1195.7</v>
      </c>
      <c r="M777" s="2" t="str">
        <f t="shared" si="24"/>
        <v>Dec</v>
      </c>
      <c r="N777" s="2" t="str">
        <f t="shared" si="25"/>
        <v>low</v>
      </c>
      <c r="O777" s="2"/>
    </row>
    <row r="778" spans="1:15">
      <c r="A778" t="s">
        <v>836</v>
      </c>
      <c r="B778" s="1">
        <v>45329</v>
      </c>
      <c r="C778" t="s">
        <v>35</v>
      </c>
      <c r="D778" t="s">
        <v>97</v>
      </c>
      <c r="E778" t="s">
        <v>1160</v>
      </c>
      <c r="F778">
        <v>5</v>
      </c>
      <c r="G778">
        <v>5311.18</v>
      </c>
      <c r="H778" s="5">
        <v>0.15</v>
      </c>
      <c r="I778" t="s">
        <v>55</v>
      </c>
      <c r="J778" t="s">
        <v>29</v>
      </c>
      <c r="K778" t="s">
        <v>33</v>
      </c>
      <c r="L778">
        <v>22572.51</v>
      </c>
      <c r="M778" s="2" t="str">
        <f t="shared" si="24"/>
        <v>Feb</v>
      </c>
      <c r="N778" s="2" t="str">
        <f t="shared" si="25"/>
        <v>high</v>
      </c>
      <c r="O778" s="2"/>
    </row>
    <row r="779" spans="1:15">
      <c r="A779" t="s">
        <v>837</v>
      </c>
      <c r="B779" s="1">
        <v>45551</v>
      </c>
      <c r="C779" t="s">
        <v>38</v>
      </c>
      <c r="D779" t="s">
        <v>100</v>
      </c>
      <c r="E779" t="s">
        <v>44</v>
      </c>
      <c r="F779">
        <v>4</v>
      </c>
      <c r="G779">
        <v>1009.69</v>
      </c>
      <c r="H779" s="5">
        <v>0.15</v>
      </c>
      <c r="I779" t="s">
        <v>55</v>
      </c>
      <c r="J779" t="s">
        <v>17</v>
      </c>
      <c r="K779" t="s">
        <v>33</v>
      </c>
      <c r="L779">
        <v>3432.95</v>
      </c>
      <c r="M779" s="2" t="str">
        <f t="shared" si="24"/>
        <v>Sep</v>
      </c>
      <c r="N779" s="2" t="str">
        <f t="shared" si="25"/>
        <v>low</v>
      </c>
      <c r="O779" s="2"/>
    </row>
    <row r="780" spans="1:15">
      <c r="A780" t="s">
        <v>838</v>
      </c>
      <c r="B780" s="1">
        <v>45467</v>
      </c>
      <c r="C780" t="s">
        <v>38</v>
      </c>
      <c r="D780" t="s">
        <v>39</v>
      </c>
      <c r="E780" t="s">
        <v>53</v>
      </c>
      <c r="F780">
        <v>2</v>
      </c>
      <c r="G780">
        <v>2162.62</v>
      </c>
      <c r="H780" s="5">
        <v>0.25</v>
      </c>
      <c r="I780" t="s">
        <v>55</v>
      </c>
      <c r="J780" t="s">
        <v>17</v>
      </c>
      <c r="K780" t="s">
        <v>33</v>
      </c>
      <c r="L780">
        <f>(F780*G780)-(F780*G780)*H780</f>
        <v>3243.93</v>
      </c>
      <c r="M780" s="2" t="str">
        <f t="shared" si="24"/>
        <v>Jun</v>
      </c>
      <c r="N780" s="2" t="str">
        <f t="shared" si="25"/>
        <v>low</v>
      </c>
      <c r="O780" s="2"/>
    </row>
    <row r="781" spans="1:15">
      <c r="A781" t="s">
        <v>839</v>
      </c>
      <c r="B781" s="1">
        <v>45448</v>
      </c>
      <c r="C781" t="s">
        <v>13</v>
      </c>
      <c r="D781" t="s">
        <v>70</v>
      </c>
      <c r="E781" t="s">
        <v>32</v>
      </c>
      <c r="F781">
        <v>4</v>
      </c>
      <c r="G781">
        <v>4605.28</v>
      </c>
      <c r="H781" s="5">
        <v>0.25</v>
      </c>
      <c r="I781" t="s">
        <v>16</v>
      </c>
      <c r="J781" t="s">
        <v>49</v>
      </c>
      <c r="K781" t="s">
        <v>33</v>
      </c>
      <c r="L781">
        <v>13815.84</v>
      </c>
      <c r="M781" s="2" t="str">
        <f t="shared" si="24"/>
        <v>Jun</v>
      </c>
      <c r="N781" s="2" t="str">
        <f t="shared" si="25"/>
        <v>medium</v>
      </c>
      <c r="O781" s="2"/>
    </row>
    <row r="782" spans="1:15">
      <c r="A782" t="s">
        <v>840</v>
      </c>
      <c r="B782" s="1">
        <v>45379</v>
      </c>
      <c r="C782" t="s">
        <v>38</v>
      </c>
      <c r="D782" t="s">
        <v>100</v>
      </c>
      <c r="E782" t="s">
        <v>44</v>
      </c>
      <c r="F782">
        <v>4</v>
      </c>
      <c r="G782">
        <v>5387.3</v>
      </c>
      <c r="H782" s="5">
        <v>0</v>
      </c>
      <c r="I782" t="s">
        <v>16</v>
      </c>
      <c r="J782" t="s">
        <v>29</v>
      </c>
      <c r="K782" t="s">
        <v>33</v>
      </c>
      <c r="L782">
        <v>21549.200000000001</v>
      </c>
      <c r="M782" s="2" t="str">
        <f t="shared" si="24"/>
        <v>Mar</v>
      </c>
      <c r="N782" s="2" t="str">
        <f t="shared" si="25"/>
        <v>high</v>
      </c>
      <c r="O782" s="2"/>
    </row>
    <row r="783" spans="1:15">
      <c r="A783" t="s">
        <v>841</v>
      </c>
      <c r="B783" s="1">
        <v>45585</v>
      </c>
      <c r="C783" t="s">
        <v>13</v>
      </c>
      <c r="D783" t="s">
        <v>76</v>
      </c>
      <c r="E783" t="s">
        <v>53</v>
      </c>
      <c r="F783">
        <v>1</v>
      </c>
      <c r="G783">
        <v>5050.34</v>
      </c>
      <c r="H783" s="5">
        <v>0.1</v>
      </c>
      <c r="I783" t="s">
        <v>28</v>
      </c>
      <c r="J783" t="s">
        <v>17</v>
      </c>
      <c r="K783" t="s">
        <v>33</v>
      </c>
      <c r="L783">
        <v>4545.3100000000004</v>
      </c>
      <c r="M783" s="2" t="str">
        <f t="shared" si="24"/>
        <v>Oct</v>
      </c>
      <c r="N783" s="2" t="str">
        <f t="shared" si="25"/>
        <v>low</v>
      </c>
      <c r="O783" s="2"/>
    </row>
    <row r="784" spans="1:15">
      <c r="A784" t="s">
        <v>842</v>
      </c>
      <c r="B784" s="1">
        <v>45404</v>
      </c>
      <c r="C784" t="s">
        <v>35</v>
      </c>
      <c r="D784" t="s">
        <v>63</v>
      </c>
      <c r="E784" t="s">
        <v>80</v>
      </c>
      <c r="F784">
        <v>3</v>
      </c>
      <c r="G784">
        <v>3559.11</v>
      </c>
      <c r="H784" s="5">
        <v>0.2</v>
      </c>
      <c r="I784" t="s">
        <v>22</v>
      </c>
      <c r="J784" t="s">
        <v>40</v>
      </c>
      <c r="K784" t="s">
        <v>33</v>
      </c>
      <c r="L784">
        <v>8541.86</v>
      </c>
      <c r="M784" s="2" t="str">
        <f t="shared" si="24"/>
        <v>Apr</v>
      </c>
      <c r="N784" s="2" t="str">
        <f t="shared" si="25"/>
        <v>low</v>
      </c>
      <c r="O784" s="2"/>
    </row>
    <row r="785" spans="1:15">
      <c r="A785" t="s">
        <v>843</v>
      </c>
      <c r="B785" s="1">
        <v>45313</v>
      </c>
      <c r="C785" t="s">
        <v>38</v>
      </c>
      <c r="D785" t="s">
        <v>100</v>
      </c>
      <c r="E785" t="s">
        <v>27</v>
      </c>
      <c r="F785">
        <v>5</v>
      </c>
      <c r="G785">
        <v>2857.35</v>
      </c>
      <c r="H785" s="5">
        <v>0.2</v>
      </c>
      <c r="I785" t="s">
        <v>55</v>
      </c>
      <c r="J785" t="s">
        <v>17</v>
      </c>
      <c r="K785" t="s">
        <v>33</v>
      </c>
      <c r="L785">
        <v>11429.4</v>
      </c>
      <c r="M785" s="2" t="str">
        <f t="shared" si="24"/>
        <v>Jan</v>
      </c>
      <c r="N785" s="2" t="str">
        <f t="shared" si="25"/>
        <v>medium</v>
      </c>
      <c r="O785" s="2"/>
    </row>
    <row r="786" spans="1:15">
      <c r="A786" t="s">
        <v>844</v>
      </c>
      <c r="B786" s="1">
        <v>45559</v>
      </c>
      <c r="C786" t="s">
        <v>20</v>
      </c>
      <c r="D786" t="s">
        <v>78</v>
      </c>
      <c r="E786" t="s">
        <v>80</v>
      </c>
      <c r="F786">
        <v>6</v>
      </c>
      <c r="G786">
        <v>3032.56</v>
      </c>
      <c r="H786" s="5">
        <v>0.05</v>
      </c>
      <c r="I786" t="s">
        <v>55</v>
      </c>
      <c r="J786" t="s">
        <v>23</v>
      </c>
      <c r="K786" t="s">
        <v>33</v>
      </c>
      <c r="L786">
        <v>17285.59</v>
      </c>
      <c r="M786" s="2" t="str">
        <f t="shared" si="24"/>
        <v>Sep</v>
      </c>
      <c r="N786" s="2" t="str">
        <f t="shared" si="25"/>
        <v>medium</v>
      </c>
      <c r="O786" s="2"/>
    </row>
    <row r="787" spans="1:15">
      <c r="A787" t="s">
        <v>845</v>
      </c>
      <c r="B787" s="1">
        <v>45647</v>
      </c>
      <c r="C787" t="s">
        <v>13</v>
      </c>
      <c r="D787" t="s">
        <v>14</v>
      </c>
      <c r="E787" t="s">
        <v>53</v>
      </c>
      <c r="F787">
        <v>2</v>
      </c>
      <c r="G787">
        <v>6620.5</v>
      </c>
      <c r="H787" s="5">
        <v>0.2</v>
      </c>
      <c r="I787" t="s">
        <v>28</v>
      </c>
      <c r="J787" t="s">
        <v>40</v>
      </c>
      <c r="K787" t="s">
        <v>33</v>
      </c>
      <c r="L787">
        <v>10592.8</v>
      </c>
      <c r="M787" s="2" t="str">
        <f t="shared" si="24"/>
        <v>Dec</v>
      </c>
      <c r="N787" s="2" t="str">
        <f t="shared" si="25"/>
        <v>medium</v>
      </c>
      <c r="O787" s="2"/>
    </row>
    <row r="788" spans="1:15">
      <c r="A788" t="s">
        <v>846</v>
      </c>
      <c r="B788" s="1">
        <v>45480</v>
      </c>
      <c r="C788" t="s">
        <v>38</v>
      </c>
      <c r="D788" t="s">
        <v>164</v>
      </c>
      <c r="E788" t="s">
        <v>80</v>
      </c>
      <c r="F788">
        <v>5</v>
      </c>
      <c r="G788">
        <v>6213.19</v>
      </c>
      <c r="H788" s="5">
        <v>0</v>
      </c>
      <c r="I788" t="s">
        <v>22</v>
      </c>
      <c r="J788" t="s">
        <v>17</v>
      </c>
      <c r="K788" t="s">
        <v>33</v>
      </c>
      <c r="L788">
        <v>31065.95</v>
      </c>
      <c r="M788" s="2" t="str">
        <f t="shared" si="24"/>
        <v>Jul</v>
      </c>
      <c r="N788" s="2" t="str">
        <f t="shared" si="25"/>
        <v>high</v>
      </c>
      <c r="O788" s="2"/>
    </row>
    <row r="789" spans="1:15">
      <c r="A789" t="s">
        <v>847</v>
      </c>
      <c r="B789" s="1">
        <v>45469</v>
      </c>
      <c r="C789" t="s">
        <v>35</v>
      </c>
      <c r="D789" t="s">
        <v>97</v>
      </c>
      <c r="E789" t="s">
        <v>1160</v>
      </c>
      <c r="F789">
        <v>5</v>
      </c>
      <c r="G789">
        <v>5112.7299999999996</v>
      </c>
      <c r="H789" s="5">
        <v>0.2</v>
      </c>
      <c r="I789" t="s">
        <v>16</v>
      </c>
      <c r="J789" t="s">
        <v>29</v>
      </c>
      <c r="K789" t="s">
        <v>33</v>
      </c>
      <c r="L789">
        <v>20450.919999999998</v>
      </c>
      <c r="M789" s="2" t="str">
        <f t="shared" si="24"/>
        <v>Jun</v>
      </c>
      <c r="N789" s="2" t="str">
        <f t="shared" si="25"/>
        <v>high</v>
      </c>
      <c r="O789" s="2"/>
    </row>
    <row r="790" spans="1:15">
      <c r="A790" t="s">
        <v>848</v>
      </c>
      <c r="B790" s="1">
        <v>45293</v>
      </c>
      <c r="C790" t="s">
        <v>25</v>
      </c>
      <c r="D790" t="s">
        <v>87</v>
      </c>
      <c r="E790" t="s">
        <v>15</v>
      </c>
      <c r="F790">
        <v>1</v>
      </c>
      <c r="G790">
        <v>1152.2</v>
      </c>
      <c r="H790" s="5">
        <v>0.25</v>
      </c>
      <c r="I790" t="s">
        <v>55</v>
      </c>
      <c r="J790" t="s">
        <v>40</v>
      </c>
      <c r="K790" t="s">
        <v>33</v>
      </c>
      <c r="L790">
        <v>864.15</v>
      </c>
      <c r="M790" s="2" t="str">
        <f t="shared" si="24"/>
        <v>Jan</v>
      </c>
      <c r="N790" s="2" t="str">
        <f t="shared" si="25"/>
        <v>low</v>
      </c>
      <c r="O790" s="2"/>
    </row>
    <row r="791" spans="1:15">
      <c r="A791" t="s">
        <v>849</v>
      </c>
      <c r="B791" s="1">
        <v>45651</v>
      </c>
      <c r="C791" t="s">
        <v>35</v>
      </c>
      <c r="D791" t="s">
        <v>65</v>
      </c>
      <c r="E791" t="s">
        <v>80</v>
      </c>
      <c r="F791">
        <v>4</v>
      </c>
      <c r="G791">
        <v>614.21</v>
      </c>
      <c r="H791" s="5">
        <v>0.1</v>
      </c>
      <c r="I791" t="s">
        <v>22</v>
      </c>
      <c r="J791" t="s">
        <v>29</v>
      </c>
      <c r="K791" t="s">
        <v>18</v>
      </c>
      <c r="L791">
        <v>2211.16</v>
      </c>
      <c r="M791" s="2" t="str">
        <f t="shared" si="24"/>
        <v>Dec</v>
      </c>
      <c r="N791" s="2" t="str">
        <f t="shared" si="25"/>
        <v>low</v>
      </c>
      <c r="O791" s="2"/>
    </row>
    <row r="792" spans="1:15">
      <c r="A792" t="s">
        <v>850</v>
      </c>
      <c r="B792" s="1">
        <v>45401</v>
      </c>
      <c r="C792" t="s">
        <v>38</v>
      </c>
      <c r="D792" t="s">
        <v>100</v>
      </c>
      <c r="E792" t="s">
        <v>1160</v>
      </c>
      <c r="F792">
        <v>1</v>
      </c>
      <c r="G792">
        <v>5450.75</v>
      </c>
      <c r="H792" s="5">
        <v>0.1</v>
      </c>
      <c r="I792" t="s">
        <v>16</v>
      </c>
      <c r="J792" t="s">
        <v>49</v>
      </c>
      <c r="K792" t="s">
        <v>18</v>
      </c>
      <c r="L792">
        <v>4905.68</v>
      </c>
      <c r="M792" s="2" t="str">
        <f t="shared" si="24"/>
        <v>Apr</v>
      </c>
      <c r="N792" s="2" t="str">
        <f t="shared" si="25"/>
        <v>low</v>
      </c>
      <c r="O792" s="2"/>
    </row>
    <row r="793" spans="1:15">
      <c r="A793" t="s">
        <v>851</v>
      </c>
      <c r="B793" s="1">
        <v>45346</v>
      </c>
      <c r="C793" t="s">
        <v>38</v>
      </c>
      <c r="D793" t="s">
        <v>51</v>
      </c>
      <c r="E793" t="s">
        <v>15</v>
      </c>
      <c r="F793">
        <v>1</v>
      </c>
      <c r="G793">
        <v>4338.92</v>
      </c>
      <c r="H793" s="5">
        <v>0.15</v>
      </c>
      <c r="I793" t="s">
        <v>16</v>
      </c>
      <c r="J793" t="s">
        <v>17</v>
      </c>
      <c r="K793" t="s">
        <v>18</v>
      </c>
      <c r="L793">
        <v>3688.08</v>
      </c>
      <c r="M793" s="2" t="str">
        <f t="shared" si="24"/>
        <v>Feb</v>
      </c>
      <c r="N793" s="2" t="str">
        <f t="shared" si="25"/>
        <v>low</v>
      </c>
      <c r="O793" s="2"/>
    </row>
    <row r="794" spans="1:15">
      <c r="A794" t="s">
        <v>852</v>
      </c>
      <c r="B794" s="1">
        <v>45503</v>
      </c>
      <c r="C794" t="s">
        <v>35</v>
      </c>
      <c r="D794" t="s">
        <v>63</v>
      </c>
      <c r="E794" t="s">
        <v>15</v>
      </c>
      <c r="F794">
        <v>4</v>
      </c>
      <c r="G794">
        <v>1178.99</v>
      </c>
      <c r="H794" s="5">
        <v>0.25</v>
      </c>
      <c r="I794" t="s">
        <v>22</v>
      </c>
      <c r="J794" t="s">
        <v>23</v>
      </c>
      <c r="K794" t="s">
        <v>33</v>
      </c>
      <c r="L794">
        <v>3536.97</v>
      </c>
      <c r="M794" s="2" t="str">
        <f t="shared" si="24"/>
        <v>Jul</v>
      </c>
      <c r="N794" s="2" t="str">
        <f t="shared" si="25"/>
        <v>low</v>
      </c>
      <c r="O794" s="2"/>
    </row>
    <row r="795" spans="1:15">
      <c r="A795" t="s">
        <v>853</v>
      </c>
      <c r="B795" s="1">
        <v>45614</v>
      </c>
      <c r="C795" t="s">
        <v>25</v>
      </c>
      <c r="D795" t="s">
        <v>31</v>
      </c>
      <c r="E795" t="s">
        <v>27</v>
      </c>
      <c r="F795">
        <v>1</v>
      </c>
      <c r="G795">
        <v>4106.38</v>
      </c>
      <c r="H795" s="5">
        <v>0</v>
      </c>
      <c r="I795" t="s">
        <v>22</v>
      </c>
      <c r="J795" t="s">
        <v>23</v>
      </c>
      <c r="K795" t="s">
        <v>18</v>
      </c>
      <c r="L795">
        <v>4106.38</v>
      </c>
      <c r="M795" s="2" t="str">
        <f t="shared" si="24"/>
        <v>Nov</v>
      </c>
      <c r="N795" s="2" t="str">
        <f t="shared" si="25"/>
        <v>low</v>
      </c>
      <c r="O795" s="2"/>
    </row>
    <row r="796" spans="1:15">
      <c r="A796" t="s">
        <v>854</v>
      </c>
      <c r="B796" s="1">
        <v>45351</v>
      </c>
      <c r="C796" t="s">
        <v>20</v>
      </c>
      <c r="D796" t="s">
        <v>78</v>
      </c>
      <c r="E796" t="s">
        <v>44</v>
      </c>
      <c r="F796">
        <v>4</v>
      </c>
      <c r="G796">
        <v>992.49</v>
      </c>
      <c r="H796" s="5">
        <v>0.05</v>
      </c>
      <c r="I796" t="s">
        <v>22</v>
      </c>
      <c r="J796" t="s">
        <v>40</v>
      </c>
      <c r="K796" t="s">
        <v>33</v>
      </c>
      <c r="L796">
        <v>3771.46</v>
      </c>
      <c r="M796" s="2" t="str">
        <f t="shared" si="24"/>
        <v>Feb</v>
      </c>
      <c r="N796" s="2" t="str">
        <f t="shared" si="25"/>
        <v>low</v>
      </c>
      <c r="O796" s="2"/>
    </row>
    <row r="797" spans="1:15">
      <c r="A797" t="s">
        <v>855</v>
      </c>
      <c r="B797" s="1">
        <v>45348</v>
      </c>
      <c r="C797" t="s">
        <v>20</v>
      </c>
      <c r="D797" t="s">
        <v>61</v>
      </c>
      <c r="E797" t="s">
        <v>44</v>
      </c>
      <c r="F797">
        <v>2</v>
      </c>
      <c r="G797">
        <v>5645.49</v>
      </c>
      <c r="H797" s="5">
        <v>0</v>
      </c>
      <c r="I797" t="s">
        <v>16</v>
      </c>
      <c r="J797" t="s">
        <v>29</v>
      </c>
      <c r="K797" t="s">
        <v>33</v>
      </c>
      <c r="L797">
        <v>11290.98</v>
      </c>
      <c r="M797" s="2" t="str">
        <f t="shared" si="24"/>
        <v>Feb</v>
      </c>
      <c r="N797" s="2" t="str">
        <f t="shared" si="25"/>
        <v>medium</v>
      </c>
      <c r="O797" s="2"/>
    </row>
    <row r="798" spans="1:15">
      <c r="A798" t="s">
        <v>856</v>
      </c>
      <c r="B798" s="1">
        <v>45440</v>
      </c>
      <c r="C798" t="s">
        <v>35</v>
      </c>
      <c r="D798" t="s">
        <v>65</v>
      </c>
      <c r="E798" t="s">
        <v>1160</v>
      </c>
      <c r="F798">
        <v>5</v>
      </c>
      <c r="G798">
        <v>631.25</v>
      </c>
      <c r="H798" s="5">
        <v>0</v>
      </c>
      <c r="I798" t="s">
        <v>55</v>
      </c>
      <c r="J798" t="s">
        <v>29</v>
      </c>
      <c r="K798" t="s">
        <v>33</v>
      </c>
      <c r="L798">
        <v>3156.25</v>
      </c>
      <c r="M798" s="2" t="str">
        <f t="shared" si="24"/>
        <v>May</v>
      </c>
      <c r="N798" s="2" t="str">
        <f t="shared" si="25"/>
        <v>low</v>
      </c>
      <c r="O798" s="2"/>
    </row>
    <row r="799" spans="1:15">
      <c r="A799" t="s">
        <v>857</v>
      </c>
      <c r="B799" s="1">
        <v>45380</v>
      </c>
      <c r="C799" t="s">
        <v>25</v>
      </c>
      <c r="D799" t="s">
        <v>26</v>
      </c>
      <c r="E799" t="s">
        <v>44</v>
      </c>
      <c r="F799">
        <v>4</v>
      </c>
      <c r="G799">
        <v>6393.52</v>
      </c>
      <c r="H799" s="5">
        <v>0.1</v>
      </c>
      <c r="I799" t="s">
        <v>16</v>
      </c>
      <c r="J799" t="s">
        <v>23</v>
      </c>
      <c r="K799" t="s">
        <v>33</v>
      </c>
      <c r="L799">
        <v>23016.67</v>
      </c>
      <c r="M799" s="2" t="str">
        <f t="shared" si="24"/>
        <v>Mar</v>
      </c>
      <c r="N799" s="2" t="str">
        <f t="shared" si="25"/>
        <v>high</v>
      </c>
      <c r="O799" s="2"/>
    </row>
    <row r="800" spans="1:15">
      <c r="A800" t="s">
        <v>858</v>
      </c>
      <c r="B800" s="1">
        <v>45475</v>
      </c>
      <c r="C800" t="s">
        <v>13</v>
      </c>
      <c r="D800" t="s">
        <v>70</v>
      </c>
      <c r="E800" t="s">
        <v>15</v>
      </c>
      <c r="F800">
        <v>4</v>
      </c>
      <c r="G800">
        <v>7776.42</v>
      </c>
      <c r="H800" s="5">
        <v>0.15</v>
      </c>
      <c r="I800" t="s">
        <v>22</v>
      </c>
      <c r="J800" t="s">
        <v>17</v>
      </c>
      <c r="K800" t="s">
        <v>33</v>
      </c>
      <c r="L800">
        <f>(F800*G800)-(F800*G800)*H800</f>
        <v>26439.828000000001</v>
      </c>
      <c r="M800" s="2" t="str">
        <f t="shared" si="24"/>
        <v>Jul</v>
      </c>
      <c r="N800" s="2" t="str">
        <f t="shared" si="25"/>
        <v>high</v>
      </c>
      <c r="O800" s="2"/>
    </row>
    <row r="801" spans="1:15">
      <c r="A801" t="s">
        <v>859</v>
      </c>
      <c r="B801" s="1">
        <v>45414</v>
      </c>
      <c r="C801" t="s">
        <v>13</v>
      </c>
      <c r="D801" t="s">
        <v>70</v>
      </c>
      <c r="E801" t="s">
        <v>15</v>
      </c>
      <c r="F801">
        <v>1</v>
      </c>
      <c r="G801">
        <v>7419.13</v>
      </c>
      <c r="H801" s="5">
        <v>0.2</v>
      </c>
      <c r="I801" t="s">
        <v>16</v>
      </c>
      <c r="J801" t="s">
        <v>40</v>
      </c>
      <c r="K801" t="s">
        <v>33</v>
      </c>
      <c r="L801">
        <v>5935.3</v>
      </c>
      <c r="M801" s="2" t="str">
        <f t="shared" si="24"/>
        <v>May</v>
      </c>
      <c r="N801" s="2" t="str">
        <f t="shared" si="25"/>
        <v>low</v>
      </c>
      <c r="O801" s="2"/>
    </row>
    <row r="802" spans="1:15">
      <c r="A802" t="s">
        <v>860</v>
      </c>
      <c r="B802" s="1">
        <v>45550</v>
      </c>
      <c r="C802" t="s">
        <v>13</v>
      </c>
      <c r="D802" t="s">
        <v>14</v>
      </c>
      <c r="E802" t="s">
        <v>47</v>
      </c>
      <c r="F802">
        <v>4</v>
      </c>
      <c r="G802">
        <v>4212.91</v>
      </c>
      <c r="H802" s="5">
        <v>0.05</v>
      </c>
      <c r="I802" t="s">
        <v>16</v>
      </c>
      <c r="J802" t="s">
        <v>40</v>
      </c>
      <c r="K802" t="s">
        <v>33</v>
      </c>
      <c r="L802">
        <v>16009.06</v>
      </c>
      <c r="M802" s="2" t="str">
        <f t="shared" si="24"/>
        <v>Sep</v>
      </c>
      <c r="N802" s="2" t="str">
        <f t="shared" si="25"/>
        <v>medium</v>
      </c>
      <c r="O802" s="2"/>
    </row>
    <row r="803" spans="1:15">
      <c r="A803" t="s">
        <v>861</v>
      </c>
      <c r="B803" s="1">
        <v>45462</v>
      </c>
      <c r="C803" t="s">
        <v>20</v>
      </c>
      <c r="D803" t="s">
        <v>59</v>
      </c>
      <c r="E803" t="s">
        <v>15</v>
      </c>
      <c r="F803">
        <v>6</v>
      </c>
      <c r="G803">
        <v>4520.5</v>
      </c>
      <c r="H803" s="5">
        <v>0.2</v>
      </c>
      <c r="I803" t="s">
        <v>16</v>
      </c>
      <c r="J803" t="s">
        <v>17</v>
      </c>
      <c r="K803" t="s">
        <v>33</v>
      </c>
      <c r="L803">
        <f>(F803*G803)-(F803*G803)*H803</f>
        <v>21698.400000000001</v>
      </c>
      <c r="M803" s="2" t="str">
        <f t="shared" si="24"/>
        <v>Jun</v>
      </c>
      <c r="N803" s="2" t="str">
        <f t="shared" si="25"/>
        <v>high</v>
      </c>
      <c r="O803" s="2"/>
    </row>
    <row r="804" spans="1:15">
      <c r="A804" t="s">
        <v>862</v>
      </c>
      <c r="B804" s="1">
        <v>45575</v>
      </c>
      <c r="C804" t="s">
        <v>20</v>
      </c>
      <c r="D804" t="s">
        <v>21</v>
      </c>
      <c r="E804" t="s">
        <v>53</v>
      </c>
      <c r="F804">
        <v>2</v>
      </c>
      <c r="G804">
        <v>4599.8999999999996</v>
      </c>
      <c r="H804" s="5">
        <v>0</v>
      </c>
      <c r="I804" t="s">
        <v>22</v>
      </c>
      <c r="J804" t="s">
        <v>17</v>
      </c>
      <c r="K804" t="s">
        <v>33</v>
      </c>
      <c r="L804">
        <v>9199.7999999999993</v>
      </c>
      <c r="M804" s="2" t="str">
        <f t="shared" si="24"/>
        <v>Oct</v>
      </c>
      <c r="N804" s="2" t="str">
        <f t="shared" si="25"/>
        <v>low</v>
      </c>
      <c r="O804" s="2"/>
    </row>
    <row r="805" spans="1:15">
      <c r="A805" t="s">
        <v>863</v>
      </c>
      <c r="B805" s="1">
        <v>45478</v>
      </c>
      <c r="C805" t="s">
        <v>13</v>
      </c>
      <c r="D805" t="s">
        <v>70</v>
      </c>
      <c r="E805" t="s">
        <v>15</v>
      </c>
      <c r="F805">
        <v>2</v>
      </c>
      <c r="G805">
        <v>3775.07</v>
      </c>
      <c r="H805" s="5">
        <v>0</v>
      </c>
      <c r="I805" t="s">
        <v>22</v>
      </c>
      <c r="J805" t="s">
        <v>23</v>
      </c>
      <c r="K805" t="s">
        <v>33</v>
      </c>
      <c r="L805">
        <v>7550.14</v>
      </c>
      <c r="M805" s="2" t="str">
        <f t="shared" si="24"/>
        <v>Jul</v>
      </c>
      <c r="N805" s="2" t="str">
        <f t="shared" si="25"/>
        <v>low</v>
      </c>
      <c r="O805" s="2"/>
    </row>
    <row r="806" spans="1:15">
      <c r="A806" t="s">
        <v>864</v>
      </c>
      <c r="B806" s="1">
        <v>45581</v>
      </c>
      <c r="C806" t="s">
        <v>38</v>
      </c>
      <c r="D806" t="s">
        <v>51</v>
      </c>
      <c r="E806" t="s">
        <v>53</v>
      </c>
      <c r="F806">
        <v>6</v>
      </c>
      <c r="G806">
        <v>7444.83</v>
      </c>
      <c r="H806" s="5">
        <v>0.1</v>
      </c>
      <c r="I806" t="s">
        <v>16</v>
      </c>
      <c r="J806" t="s">
        <v>40</v>
      </c>
      <c r="K806" t="s">
        <v>18</v>
      </c>
      <c r="L806">
        <v>40202.080000000002</v>
      </c>
      <c r="M806" s="2" t="str">
        <f t="shared" si="24"/>
        <v>Oct</v>
      </c>
      <c r="N806" s="2" t="str">
        <f t="shared" si="25"/>
        <v>high</v>
      </c>
      <c r="O806" s="2"/>
    </row>
    <row r="807" spans="1:15">
      <c r="A807" t="s">
        <v>865</v>
      </c>
      <c r="B807" s="1">
        <v>45450</v>
      </c>
      <c r="C807" t="s">
        <v>20</v>
      </c>
      <c r="D807" t="s">
        <v>57</v>
      </c>
      <c r="E807" t="s">
        <v>1160</v>
      </c>
      <c r="F807">
        <v>3</v>
      </c>
      <c r="G807">
        <v>6612.94</v>
      </c>
      <c r="H807" s="5">
        <v>0.05</v>
      </c>
      <c r="I807" t="s">
        <v>22</v>
      </c>
      <c r="J807" t="s">
        <v>29</v>
      </c>
      <c r="K807" t="s">
        <v>33</v>
      </c>
      <c r="L807">
        <v>18846.88</v>
      </c>
      <c r="M807" s="2" t="str">
        <f t="shared" si="24"/>
        <v>Jun</v>
      </c>
      <c r="N807" s="2" t="str">
        <f t="shared" si="25"/>
        <v>medium</v>
      </c>
      <c r="O807" s="2"/>
    </row>
    <row r="808" spans="1:15">
      <c r="A808" t="s">
        <v>866</v>
      </c>
      <c r="B808" s="1">
        <v>45644</v>
      </c>
      <c r="C808" t="s">
        <v>35</v>
      </c>
      <c r="D808" t="s">
        <v>97</v>
      </c>
      <c r="E808" t="s">
        <v>80</v>
      </c>
      <c r="F808">
        <v>5</v>
      </c>
      <c r="G808">
        <v>1595.91</v>
      </c>
      <c r="H808" s="5">
        <v>0.2</v>
      </c>
      <c r="I808" t="s">
        <v>28</v>
      </c>
      <c r="J808" t="s">
        <v>40</v>
      </c>
      <c r="K808" t="s">
        <v>33</v>
      </c>
      <c r="L808">
        <v>6383.64</v>
      </c>
      <c r="M808" s="2" t="str">
        <f t="shared" si="24"/>
        <v>Dec</v>
      </c>
      <c r="N808" s="2" t="str">
        <f t="shared" si="25"/>
        <v>low</v>
      </c>
      <c r="O808" s="2"/>
    </row>
    <row r="809" spans="1:15">
      <c r="A809" t="s">
        <v>867</v>
      </c>
      <c r="B809" s="1">
        <v>45410</v>
      </c>
      <c r="C809" t="s">
        <v>25</v>
      </c>
      <c r="D809" t="s">
        <v>87</v>
      </c>
      <c r="E809" t="s">
        <v>1160</v>
      </c>
      <c r="F809">
        <v>6</v>
      </c>
      <c r="G809">
        <v>1803.39</v>
      </c>
      <c r="H809" s="5">
        <v>0.2</v>
      </c>
      <c r="I809" t="s">
        <v>16</v>
      </c>
      <c r="J809" t="s">
        <v>29</v>
      </c>
      <c r="K809" t="s">
        <v>33</v>
      </c>
      <c r="L809">
        <v>8656.27</v>
      </c>
      <c r="M809" s="2" t="str">
        <f t="shared" si="24"/>
        <v>Apr</v>
      </c>
      <c r="N809" s="2" t="str">
        <f t="shared" si="25"/>
        <v>low</v>
      </c>
      <c r="O809" s="2"/>
    </row>
    <row r="810" spans="1:15">
      <c r="A810" t="s">
        <v>868</v>
      </c>
      <c r="B810" s="1">
        <v>45543</v>
      </c>
      <c r="C810" t="s">
        <v>35</v>
      </c>
      <c r="D810" t="s">
        <v>63</v>
      </c>
      <c r="E810" t="s">
        <v>80</v>
      </c>
      <c r="F810">
        <v>2</v>
      </c>
      <c r="G810">
        <v>4320.84</v>
      </c>
      <c r="H810" s="5">
        <v>0.05</v>
      </c>
      <c r="I810" t="s">
        <v>55</v>
      </c>
      <c r="J810" t="s">
        <v>17</v>
      </c>
      <c r="K810" t="s">
        <v>33</v>
      </c>
      <c r="L810">
        <v>8209.6</v>
      </c>
      <c r="M810" s="2" t="str">
        <f t="shared" si="24"/>
        <v>Sep</v>
      </c>
      <c r="N810" s="2" t="str">
        <f t="shared" si="25"/>
        <v>low</v>
      </c>
      <c r="O810" s="2"/>
    </row>
    <row r="811" spans="1:15">
      <c r="A811" t="s">
        <v>869</v>
      </c>
      <c r="B811" s="1">
        <v>45496</v>
      </c>
      <c r="C811" t="s">
        <v>38</v>
      </c>
      <c r="D811" t="s">
        <v>39</v>
      </c>
      <c r="E811" t="s">
        <v>27</v>
      </c>
      <c r="F811">
        <v>4</v>
      </c>
      <c r="G811">
        <v>3938.96</v>
      </c>
      <c r="H811" s="5">
        <v>0.05</v>
      </c>
      <c r="I811" t="s">
        <v>16</v>
      </c>
      <c r="J811" t="s">
        <v>17</v>
      </c>
      <c r="K811" t="s">
        <v>33</v>
      </c>
      <c r="L811">
        <v>14968.05</v>
      </c>
      <c r="M811" s="2" t="str">
        <f t="shared" si="24"/>
        <v>Jul</v>
      </c>
      <c r="N811" s="2" t="str">
        <f t="shared" si="25"/>
        <v>medium</v>
      </c>
      <c r="O811" s="2"/>
    </row>
    <row r="812" spans="1:15">
      <c r="A812" t="s">
        <v>870</v>
      </c>
      <c r="B812" s="1">
        <v>45363</v>
      </c>
      <c r="C812" t="s">
        <v>38</v>
      </c>
      <c r="D812" t="s">
        <v>51</v>
      </c>
      <c r="E812" t="s">
        <v>1160</v>
      </c>
      <c r="F812">
        <v>1</v>
      </c>
      <c r="G812">
        <v>3382.04</v>
      </c>
      <c r="H812" s="5">
        <v>0.1</v>
      </c>
      <c r="I812" t="s">
        <v>55</v>
      </c>
      <c r="J812" t="s">
        <v>49</v>
      </c>
      <c r="K812" t="s">
        <v>33</v>
      </c>
      <c r="L812">
        <v>3043.84</v>
      </c>
      <c r="M812" s="2" t="str">
        <f t="shared" si="24"/>
        <v>Mar</v>
      </c>
      <c r="N812" s="2" t="str">
        <f t="shared" si="25"/>
        <v>low</v>
      </c>
      <c r="O812" s="2"/>
    </row>
    <row r="813" spans="1:15">
      <c r="A813" t="s">
        <v>871</v>
      </c>
      <c r="B813" s="1">
        <v>45566</v>
      </c>
      <c r="C813" t="s">
        <v>20</v>
      </c>
      <c r="D813" t="s">
        <v>21</v>
      </c>
      <c r="E813" t="s">
        <v>1160</v>
      </c>
      <c r="F813">
        <v>5</v>
      </c>
      <c r="G813">
        <v>3684.84</v>
      </c>
      <c r="H813" s="5">
        <v>0</v>
      </c>
      <c r="I813" t="s">
        <v>16</v>
      </c>
      <c r="J813" t="s">
        <v>49</v>
      </c>
      <c r="K813" t="s">
        <v>33</v>
      </c>
      <c r="L813">
        <v>18424.2</v>
      </c>
      <c r="M813" s="2" t="str">
        <f t="shared" si="24"/>
        <v>Oct</v>
      </c>
      <c r="N813" s="2" t="str">
        <f t="shared" si="25"/>
        <v>medium</v>
      </c>
      <c r="O813" s="2"/>
    </row>
    <row r="814" spans="1:15">
      <c r="A814" t="s">
        <v>872</v>
      </c>
      <c r="B814" s="1">
        <v>45597</v>
      </c>
      <c r="C814" t="s">
        <v>38</v>
      </c>
      <c r="D814" t="s">
        <v>42</v>
      </c>
      <c r="E814" t="s">
        <v>1160</v>
      </c>
      <c r="F814">
        <v>2</v>
      </c>
      <c r="G814">
        <v>2663.28</v>
      </c>
      <c r="H814" s="5">
        <v>0.25</v>
      </c>
      <c r="I814" t="s">
        <v>16</v>
      </c>
      <c r="J814" t="s">
        <v>40</v>
      </c>
      <c r="K814" t="s">
        <v>33</v>
      </c>
      <c r="L814">
        <v>3994.92</v>
      </c>
      <c r="M814" s="2" t="str">
        <f t="shared" si="24"/>
        <v>Nov</v>
      </c>
      <c r="N814" s="2" t="str">
        <f t="shared" si="25"/>
        <v>low</v>
      </c>
      <c r="O814" s="2"/>
    </row>
    <row r="815" spans="1:15">
      <c r="A815" t="s">
        <v>873</v>
      </c>
      <c r="B815" s="1">
        <v>45370</v>
      </c>
      <c r="C815" t="s">
        <v>38</v>
      </c>
      <c r="D815" t="s">
        <v>164</v>
      </c>
      <c r="E815" t="s">
        <v>32</v>
      </c>
      <c r="F815">
        <v>3</v>
      </c>
      <c r="G815">
        <v>1949.3</v>
      </c>
      <c r="H815" s="5">
        <v>0.05</v>
      </c>
      <c r="I815" t="s">
        <v>28</v>
      </c>
      <c r="J815" t="s">
        <v>49</v>
      </c>
      <c r="K815" t="s">
        <v>33</v>
      </c>
      <c r="L815">
        <v>5555.5</v>
      </c>
      <c r="M815" s="2" t="str">
        <f t="shared" si="24"/>
        <v>Mar</v>
      </c>
      <c r="N815" s="2" t="str">
        <f t="shared" si="25"/>
        <v>low</v>
      </c>
      <c r="O815" s="2"/>
    </row>
    <row r="816" spans="1:15">
      <c r="A816" t="s">
        <v>874</v>
      </c>
      <c r="B816" s="1">
        <v>45340</v>
      </c>
      <c r="C816" t="s">
        <v>38</v>
      </c>
      <c r="D816" t="s">
        <v>39</v>
      </c>
      <c r="E816" t="s">
        <v>80</v>
      </c>
      <c r="F816">
        <v>2</v>
      </c>
      <c r="G816">
        <v>2210.29</v>
      </c>
      <c r="H816" s="5">
        <v>0.1</v>
      </c>
      <c r="I816" t="s">
        <v>16</v>
      </c>
      <c r="J816" t="s">
        <v>17</v>
      </c>
      <c r="K816" t="s">
        <v>33</v>
      </c>
      <c r="L816">
        <v>3978.52</v>
      </c>
      <c r="M816" s="2" t="str">
        <f t="shared" si="24"/>
        <v>Feb</v>
      </c>
      <c r="N816" s="2" t="str">
        <f t="shared" si="25"/>
        <v>low</v>
      </c>
      <c r="O816" s="2"/>
    </row>
    <row r="817" spans="1:15">
      <c r="A817" t="s">
        <v>875</v>
      </c>
      <c r="B817" s="1">
        <v>45548</v>
      </c>
      <c r="C817" t="s">
        <v>13</v>
      </c>
      <c r="D817" t="s">
        <v>108</v>
      </c>
      <c r="E817" t="s">
        <v>1160</v>
      </c>
      <c r="F817">
        <v>1</v>
      </c>
      <c r="G817">
        <v>4192.7700000000004</v>
      </c>
      <c r="H817" s="5">
        <v>0</v>
      </c>
      <c r="I817" t="s">
        <v>16</v>
      </c>
      <c r="J817" t="s">
        <v>17</v>
      </c>
      <c r="K817" t="s">
        <v>33</v>
      </c>
      <c r="L817">
        <v>4192.7700000000004</v>
      </c>
      <c r="M817" s="2" t="str">
        <f t="shared" si="24"/>
        <v>Sep</v>
      </c>
      <c r="N817" s="2" t="str">
        <f t="shared" si="25"/>
        <v>low</v>
      </c>
      <c r="O817" s="2"/>
    </row>
    <row r="818" spans="1:15">
      <c r="A818" t="s">
        <v>876</v>
      </c>
      <c r="B818" s="1">
        <v>45584</v>
      </c>
      <c r="C818" t="s">
        <v>38</v>
      </c>
      <c r="D818" t="s">
        <v>164</v>
      </c>
      <c r="E818" t="s">
        <v>44</v>
      </c>
      <c r="F818">
        <v>6</v>
      </c>
      <c r="G818">
        <v>2468.1</v>
      </c>
      <c r="H818" s="5">
        <v>0</v>
      </c>
      <c r="I818" t="s">
        <v>16</v>
      </c>
      <c r="J818" t="s">
        <v>17</v>
      </c>
      <c r="K818" t="s">
        <v>18</v>
      </c>
      <c r="L818">
        <v>14808.6</v>
      </c>
      <c r="M818" s="2" t="str">
        <f t="shared" si="24"/>
        <v>Oct</v>
      </c>
      <c r="N818" s="2" t="str">
        <f t="shared" si="25"/>
        <v>medium</v>
      </c>
      <c r="O818" s="2"/>
    </row>
    <row r="819" spans="1:15">
      <c r="A819" t="s">
        <v>877</v>
      </c>
      <c r="B819" s="1">
        <v>45530</v>
      </c>
      <c r="C819" t="s">
        <v>13</v>
      </c>
      <c r="D819" t="s">
        <v>70</v>
      </c>
      <c r="E819" t="s">
        <v>1160</v>
      </c>
      <c r="F819">
        <v>5</v>
      </c>
      <c r="G819">
        <v>463.71</v>
      </c>
      <c r="H819" s="5">
        <v>0</v>
      </c>
      <c r="I819" t="s">
        <v>28</v>
      </c>
      <c r="J819" t="s">
        <v>49</v>
      </c>
      <c r="K819" t="s">
        <v>33</v>
      </c>
      <c r="L819">
        <v>2318.5500000000002</v>
      </c>
      <c r="M819" s="2" t="str">
        <f t="shared" si="24"/>
        <v>Aug</v>
      </c>
      <c r="N819" s="2" t="str">
        <f t="shared" si="25"/>
        <v>low</v>
      </c>
      <c r="O819" s="2"/>
    </row>
    <row r="820" spans="1:15">
      <c r="A820" t="s">
        <v>878</v>
      </c>
      <c r="B820" s="1">
        <v>45603</v>
      </c>
      <c r="C820" t="s">
        <v>25</v>
      </c>
      <c r="D820" t="s">
        <v>46</v>
      </c>
      <c r="E820" t="s">
        <v>80</v>
      </c>
      <c r="F820">
        <v>4</v>
      </c>
      <c r="G820">
        <v>1056.2</v>
      </c>
      <c r="H820" s="5">
        <v>0.2</v>
      </c>
      <c r="I820" t="s">
        <v>16</v>
      </c>
      <c r="J820" t="s">
        <v>17</v>
      </c>
      <c r="K820" t="s">
        <v>33</v>
      </c>
      <c r="L820">
        <v>3379.84</v>
      </c>
      <c r="M820" s="2" t="str">
        <f t="shared" si="24"/>
        <v>Nov</v>
      </c>
      <c r="N820" s="2" t="str">
        <f t="shared" si="25"/>
        <v>low</v>
      </c>
      <c r="O820" s="2"/>
    </row>
    <row r="821" spans="1:15">
      <c r="A821" t="s">
        <v>879</v>
      </c>
      <c r="B821" s="1">
        <v>45608</v>
      </c>
      <c r="C821" t="s">
        <v>13</v>
      </c>
      <c r="D821" t="s">
        <v>76</v>
      </c>
      <c r="E821" t="s">
        <v>15</v>
      </c>
      <c r="F821">
        <v>5</v>
      </c>
      <c r="G821">
        <v>3403.2</v>
      </c>
      <c r="H821" s="5">
        <v>0.1</v>
      </c>
      <c r="I821" t="s">
        <v>28</v>
      </c>
      <c r="J821" t="s">
        <v>49</v>
      </c>
      <c r="K821" t="s">
        <v>33</v>
      </c>
      <c r="L821">
        <v>15314.4</v>
      </c>
      <c r="M821" s="2" t="str">
        <f t="shared" si="24"/>
        <v>Nov</v>
      </c>
      <c r="N821" s="2" t="str">
        <f t="shared" si="25"/>
        <v>medium</v>
      </c>
      <c r="O821" s="2"/>
    </row>
    <row r="822" spans="1:15">
      <c r="A822" t="s">
        <v>880</v>
      </c>
      <c r="B822" s="1">
        <v>45503</v>
      </c>
      <c r="C822" t="s">
        <v>20</v>
      </c>
      <c r="D822" t="s">
        <v>59</v>
      </c>
      <c r="E822" t="s">
        <v>1160</v>
      </c>
      <c r="F822">
        <v>1</v>
      </c>
      <c r="G822">
        <v>3435.56</v>
      </c>
      <c r="H822" s="5">
        <v>0.1</v>
      </c>
      <c r="I822" t="s">
        <v>28</v>
      </c>
      <c r="J822" t="s">
        <v>40</v>
      </c>
      <c r="K822" t="s">
        <v>33</v>
      </c>
      <c r="L822">
        <v>3092</v>
      </c>
      <c r="M822" s="2" t="str">
        <f t="shared" si="24"/>
        <v>Jul</v>
      </c>
      <c r="N822" s="2" t="str">
        <f t="shared" si="25"/>
        <v>low</v>
      </c>
      <c r="O822" s="2"/>
    </row>
    <row r="823" spans="1:15">
      <c r="A823" t="s">
        <v>881</v>
      </c>
      <c r="B823" s="1">
        <v>45594</v>
      </c>
      <c r="C823" t="s">
        <v>25</v>
      </c>
      <c r="D823" t="s">
        <v>46</v>
      </c>
      <c r="E823" t="s">
        <v>15</v>
      </c>
      <c r="F823">
        <v>4</v>
      </c>
      <c r="G823">
        <v>7538.9</v>
      </c>
      <c r="H823" s="5">
        <v>0.15</v>
      </c>
      <c r="I823" t="s">
        <v>16</v>
      </c>
      <c r="J823" t="s">
        <v>17</v>
      </c>
      <c r="K823" t="s">
        <v>33</v>
      </c>
      <c r="L823">
        <v>25632.26</v>
      </c>
      <c r="M823" s="2" t="str">
        <f t="shared" si="24"/>
        <v>Oct</v>
      </c>
      <c r="N823" s="2" t="str">
        <f t="shared" si="25"/>
        <v>high</v>
      </c>
      <c r="O823" s="2"/>
    </row>
    <row r="824" spans="1:15">
      <c r="A824" t="s">
        <v>882</v>
      </c>
      <c r="B824" s="1">
        <v>45390</v>
      </c>
      <c r="C824" t="s">
        <v>38</v>
      </c>
      <c r="D824" t="s">
        <v>100</v>
      </c>
      <c r="E824" t="s">
        <v>32</v>
      </c>
      <c r="F824">
        <v>4</v>
      </c>
      <c r="G824">
        <v>5651.96</v>
      </c>
      <c r="H824" s="5">
        <v>0</v>
      </c>
      <c r="I824" t="s">
        <v>16</v>
      </c>
      <c r="J824" t="s">
        <v>40</v>
      </c>
      <c r="K824" t="s">
        <v>18</v>
      </c>
      <c r="L824">
        <v>22607.84</v>
      </c>
      <c r="M824" s="2" t="str">
        <f t="shared" si="24"/>
        <v>Apr</v>
      </c>
      <c r="N824" s="2" t="str">
        <f t="shared" si="25"/>
        <v>high</v>
      </c>
      <c r="O824" s="2"/>
    </row>
    <row r="825" spans="1:15">
      <c r="A825" t="s">
        <v>883</v>
      </c>
      <c r="B825" s="1">
        <v>45433</v>
      </c>
      <c r="C825" t="s">
        <v>35</v>
      </c>
      <c r="D825" t="s">
        <v>68</v>
      </c>
      <c r="E825" t="s">
        <v>80</v>
      </c>
      <c r="F825">
        <v>5</v>
      </c>
      <c r="G825">
        <v>836.16</v>
      </c>
      <c r="H825" s="5">
        <v>0.1</v>
      </c>
      <c r="I825" t="s">
        <v>22</v>
      </c>
      <c r="J825" t="s">
        <v>40</v>
      </c>
      <c r="K825" t="s">
        <v>18</v>
      </c>
      <c r="L825">
        <v>3762.72</v>
      </c>
      <c r="M825" s="2" t="str">
        <f t="shared" si="24"/>
        <v>May</v>
      </c>
      <c r="N825" s="2" t="str">
        <f t="shared" si="25"/>
        <v>low</v>
      </c>
      <c r="O825" s="2"/>
    </row>
    <row r="826" spans="1:15">
      <c r="A826" t="s">
        <v>884</v>
      </c>
      <c r="B826" s="1">
        <v>45561</v>
      </c>
      <c r="C826" t="s">
        <v>35</v>
      </c>
      <c r="D826" t="s">
        <v>36</v>
      </c>
      <c r="E826" t="s">
        <v>44</v>
      </c>
      <c r="F826">
        <v>3</v>
      </c>
      <c r="G826">
        <v>2908.38</v>
      </c>
      <c r="H826" s="5">
        <v>0</v>
      </c>
      <c r="I826" t="s">
        <v>16</v>
      </c>
      <c r="J826" t="s">
        <v>17</v>
      </c>
      <c r="K826" t="s">
        <v>33</v>
      </c>
      <c r="L826">
        <v>8725.14</v>
      </c>
      <c r="M826" s="2" t="str">
        <f t="shared" si="24"/>
        <v>Sep</v>
      </c>
      <c r="N826" s="2" t="str">
        <f t="shared" si="25"/>
        <v>low</v>
      </c>
      <c r="O826" s="2"/>
    </row>
    <row r="827" spans="1:15">
      <c r="A827" t="s">
        <v>885</v>
      </c>
      <c r="B827" s="1">
        <v>45430</v>
      </c>
      <c r="C827" t="s">
        <v>38</v>
      </c>
      <c r="D827" t="s">
        <v>100</v>
      </c>
      <c r="E827" t="s">
        <v>44</v>
      </c>
      <c r="F827">
        <v>2</v>
      </c>
      <c r="G827">
        <v>3064.65</v>
      </c>
      <c r="H827" s="5">
        <v>0.1</v>
      </c>
      <c r="I827" t="s">
        <v>16</v>
      </c>
      <c r="J827" t="s">
        <v>29</v>
      </c>
      <c r="K827" t="s">
        <v>18</v>
      </c>
      <c r="L827">
        <v>5516.37</v>
      </c>
      <c r="M827" s="2" t="str">
        <f t="shared" si="24"/>
        <v>May</v>
      </c>
      <c r="N827" s="2" t="str">
        <f t="shared" si="25"/>
        <v>low</v>
      </c>
      <c r="O827" s="2"/>
    </row>
    <row r="828" spans="1:15">
      <c r="A828" t="s">
        <v>886</v>
      </c>
      <c r="B828" s="1">
        <v>45439</v>
      </c>
      <c r="C828" t="s">
        <v>25</v>
      </c>
      <c r="D828" t="s">
        <v>31</v>
      </c>
      <c r="E828" t="s">
        <v>44</v>
      </c>
      <c r="F828">
        <v>1</v>
      </c>
      <c r="G828">
        <v>2349.46</v>
      </c>
      <c r="H828" s="5">
        <v>0.25</v>
      </c>
      <c r="I828" t="s">
        <v>28</v>
      </c>
      <c r="J828" t="s">
        <v>29</v>
      </c>
      <c r="K828" t="s">
        <v>18</v>
      </c>
      <c r="L828">
        <v>1762.1</v>
      </c>
      <c r="M828" s="2" t="str">
        <f t="shared" si="24"/>
        <v>May</v>
      </c>
      <c r="N828" s="2" t="str">
        <f t="shared" si="25"/>
        <v>low</v>
      </c>
      <c r="O828" s="2"/>
    </row>
    <row r="829" spans="1:15">
      <c r="A829" t="s">
        <v>887</v>
      </c>
      <c r="B829" s="1">
        <v>45426</v>
      </c>
      <c r="C829" t="s">
        <v>13</v>
      </c>
      <c r="D829" t="s">
        <v>14</v>
      </c>
      <c r="E829" t="s">
        <v>53</v>
      </c>
      <c r="F829">
        <v>6</v>
      </c>
      <c r="G829">
        <v>1656.7</v>
      </c>
      <c r="H829" s="5">
        <v>0.2</v>
      </c>
      <c r="I829" t="s">
        <v>16</v>
      </c>
      <c r="J829" t="s">
        <v>40</v>
      </c>
      <c r="K829" t="s">
        <v>18</v>
      </c>
      <c r="L829">
        <v>7952.16</v>
      </c>
      <c r="M829" s="2" t="str">
        <f t="shared" si="24"/>
        <v>May</v>
      </c>
      <c r="N829" s="2" t="str">
        <f t="shared" si="25"/>
        <v>low</v>
      </c>
      <c r="O829" s="2"/>
    </row>
    <row r="830" spans="1:15">
      <c r="A830" t="s">
        <v>888</v>
      </c>
      <c r="B830" s="1">
        <v>45305</v>
      </c>
      <c r="C830" t="s">
        <v>20</v>
      </c>
      <c r="D830" t="s">
        <v>57</v>
      </c>
      <c r="E830" t="s">
        <v>15</v>
      </c>
      <c r="F830">
        <v>2</v>
      </c>
      <c r="G830">
        <v>3834.3</v>
      </c>
      <c r="H830" s="5">
        <v>0</v>
      </c>
      <c r="I830" t="s">
        <v>28</v>
      </c>
      <c r="J830" t="s">
        <v>40</v>
      </c>
      <c r="K830" t="s">
        <v>33</v>
      </c>
      <c r="L830">
        <v>7668.6</v>
      </c>
      <c r="M830" s="2" t="str">
        <f t="shared" si="24"/>
        <v>Jan</v>
      </c>
      <c r="N830" s="2" t="str">
        <f t="shared" si="25"/>
        <v>low</v>
      </c>
      <c r="O830" s="2"/>
    </row>
    <row r="831" spans="1:15">
      <c r="A831" t="s">
        <v>889</v>
      </c>
      <c r="B831" s="1">
        <v>45503</v>
      </c>
      <c r="C831" t="s">
        <v>13</v>
      </c>
      <c r="D831" t="s">
        <v>76</v>
      </c>
      <c r="E831" t="s">
        <v>1160</v>
      </c>
      <c r="F831">
        <v>1</v>
      </c>
      <c r="G831">
        <v>1469.55</v>
      </c>
      <c r="H831" s="5">
        <v>0.1</v>
      </c>
      <c r="I831" t="s">
        <v>16</v>
      </c>
      <c r="J831" t="s">
        <v>40</v>
      </c>
      <c r="K831" t="s">
        <v>33</v>
      </c>
      <c r="L831">
        <v>1322.6</v>
      </c>
      <c r="M831" s="2" t="str">
        <f t="shared" si="24"/>
        <v>Jul</v>
      </c>
      <c r="N831" s="2" t="str">
        <f t="shared" si="25"/>
        <v>low</v>
      </c>
      <c r="O831" s="2"/>
    </row>
    <row r="832" spans="1:15">
      <c r="A832" t="s">
        <v>890</v>
      </c>
      <c r="B832" s="1">
        <v>45599</v>
      </c>
      <c r="C832" t="s">
        <v>35</v>
      </c>
      <c r="D832" t="s">
        <v>36</v>
      </c>
      <c r="E832" t="s">
        <v>1160</v>
      </c>
      <c r="F832">
        <v>3</v>
      </c>
      <c r="G832">
        <v>2718.69</v>
      </c>
      <c r="H832" s="5">
        <v>0.2</v>
      </c>
      <c r="I832" t="s">
        <v>16</v>
      </c>
      <c r="J832" t="s">
        <v>29</v>
      </c>
      <c r="K832" t="s">
        <v>33</v>
      </c>
      <c r="L832">
        <v>6524.86</v>
      </c>
      <c r="M832" s="2" t="str">
        <f t="shared" si="24"/>
        <v>Nov</v>
      </c>
      <c r="N832" s="2" t="str">
        <f t="shared" si="25"/>
        <v>low</v>
      </c>
      <c r="O832" s="2"/>
    </row>
    <row r="833" spans="1:15">
      <c r="A833" t="s">
        <v>891</v>
      </c>
      <c r="B833" s="1">
        <v>45508</v>
      </c>
      <c r="C833" t="s">
        <v>20</v>
      </c>
      <c r="D833" t="s">
        <v>78</v>
      </c>
      <c r="E833" t="s">
        <v>53</v>
      </c>
      <c r="F833">
        <v>3</v>
      </c>
      <c r="G833">
        <v>3060.96</v>
      </c>
      <c r="H833" s="5">
        <v>0</v>
      </c>
      <c r="I833" t="s">
        <v>16</v>
      </c>
      <c r="J833" t="s">
        <v>29</v>
      </c>
      <c r="K833" t="s">
        <v>33</v>
      </c>
      <c r="L833">
        <v>9182.8799999999992</v>
      </c>
      <c r="M833" s="2" t="str">
        <f t="shared" si="24"/>
        <v>Aug</v>
      </c>
      <c r="N833" s="2" t="str">
        <f t="shared" si="25"/>
        <v>low</v>
      </c>
      <c r="O833" s="2"/>
    </row>
    <row r="834" spans="1:15">
      <c r="A834" t="s">
        <v>892</v>
      </c>
      <c r="B834" s="1">
        <v>45297</v>
      </c>
      <c r="C834" t="s">
        <v>38</v>
      </c>
      <c r="D834" t="s">
        <v>51</v>
      </c>
      <c r="E834" t="s">
        <v>15</v>
      </c>
      <c r="F834">
        <v>5</v>
      </c>
      <c r="G834">
        <v>3928.05</v>
      </c>
      <c r="H834" s="5">
        <v>0.15</v>
      </c>
      <c r="I834" t="s">
        <v>16</v>
      </c>
      <c r="J834" t="s">
        <v>40</v>
      </c>
      <c r="K834" t="s">
        <v>33</v>
      </c>
      <c r="L834">
        <v>16694.21</v>
      </c>
      <c r="M834" s="2" t="str">
        <f t="shared" ref="M834:M897" si="26">TEXT(B834,"mmm")</f>
        <v>Jan</v>
      </c>
      <c r="N834" s="2" t="str">
        <f t="shared" ref="N834:N897" si="27">IF(L834&gt;20000,"high",IF(L834&gt;10000,"medium","low"))</f>
        <v>medium</v>
      </c>
      <c r="O834" s="2"/>
    </row>
    <row r="835" spans="1:15">
      <c r="A835" t="s">
        <v>893</v>
      </c>
      <c r="B835" s="1">
        <v>45415</v>
      </c>
      <c r="C835" t="s">
        <v>35</v>
      </c>
      <c r="D835" t="s">
        <v>36</v>
      </c>
      <c r="E835" t="s">
        <v>53</v>
      </c>
      <c r="F835">
        <v>5</v>
      </c>
      <c r="G835">
        <v>3696.25</v>
      </c>
      <c r="H835" s="5">
        <v>0</v>
      </c>
      <c r="I835" t="s">
        <v>55</v>
      </c>
      <c r="J835" t="s">
        <v>29</v>
      </c>
      <c r="K835" t="s">
        <v>33</v>
      </c>
      <c r="L835">
        <v>18481.25</v>
      </c>
      <c r="M835" s="2" t="str">
        <f t="shared" si="26"/>
        <v>May</v>
      </c>
      <c r="N835" s="2" t="str">
        <f t="shared" si="27"/>
        <v>medium</v>
      </c>
      <c r="O835" s="2"/>
    </row>
    <row r="836" spans="1:15">
      <c r="A836" t="s">
        <v>894</v>
      </c>
      <c r="B836" s="1">
        <v>45478</v>
      </c>
      <c r="C836" t="s">
        <v>38</v>
      </c>
      <c r="D836" t="s">
        <v>100</v>
      </c>
      <c r="E836" t="s">
        <v>1160</v>
      </c>
      <c r="F836">
        <v>1</v>
      </c>
      <c r="G836">
        <v>5365.72</v>
      </c>
      <c r="H836" s="5">
        <v>0.25</v>
      </c>
      <c r="I836" t="s">
        <v>16</v>
      </c>
      <c r="J836" t="s">
        <v>29</v>
      </c>
      <c r="K836" t="s">
        <v>33</v>
      </c>
      <c r="L836">
        <v>4024.29</v>
      </c>
      <c r="M836" s="2" t="str">
        <f t="shared" si="26"/>
        <v>Jul</v>
      </c>
      <c r="N836" s="2" t="str">
        <f t="shared" si="27"/>
        <v>low</v>
      </c>
      <c r="O836" s="2"/>
    </row>
    <row r="837" spans="1:15">
      <c r="A837" t="s">
        <v>895</v>
      </c>
      <c r="B837" s="1">
        <v>45455</v>
      </c>
      <c r="C837" t="s">
        <v>13</v>
      </c>
      <c r="D837" t="s">
        <v>14</v>
      </c>
      <c r="E837" t="s">
        <v>44</v>
      </c>
      <c r="F837">
        <v>1</v>
      </c>
      <c r="G837">
        <v>1920.99</v>
      </c>
      <c r="H837" s="5">
        <v>0.15</v>
      </c>
      <c r="I837" t="s">
        <v>16</v>
      </c>
      <c r="J837" t="s">
        <v>23</v>
      </c>
      <c r="K837" t="s">
        <v>33</v>
      </c>
      <c r="L837">
        <v>1632.84</v>
      </c>
      <c r="M837" s="2" t="str">
        <f t="shared" si="26"/>
        <v>Jun</v>
      </c>
      <c r="N837" s="2" t="str">
        <f t="shared" si="27"/>
        <v>low</v>
      </c>
      <c r="O837" s="2"/>
    </row>
    <row r="838" spans="1:15">
      <c r="A838" t="s">
        <v>896</v>
      </c>
      <c r="B838" s="1">
        <v>45496</v>
      </c>
      <c r="C838" t="s">
        <v>13</v>
      </c>
      <c r="D838" t="s">
        <v>70</v>
      </c>
      <c r="E838" t="s">
        <v>15</v>
      </c>
      <c r="F838">
        <v>5</v>
      </c>
      <c r="G838">
        <v>715.48</v>
      </c>
      <c r="H838" s="5">
        <v>0</v>
      </c>
      <c r="I838" t="s">
        <v>22</v>
      </c>
      <c r="J838" t="s">
        <v>49</v>
      </c>
      <c r="K838" t="s">
        <v>18</v>
      </c>
      <c r="L838">
        <v>3577.4</v>
      </c>
      <c r="M838" s="2" t="str">
        <f t="shared" si="26"/>
        <v>Jul</v>
      </c>
      <c r="N838" s="2" t="str">
        <f t="shared" si="27"/>
        <v>low</v>
      </c>
      <c r="O838" s="2"/>
    </row>
    <row r="839" spans="1:15">
      <c r="A839" t="s">
        <v>897</v>
      </c>
      <c r="B839" s="1">
        <v>45503</v>
      </c>
      <c r="C839" t="s">
        <v>13</v>
      </c>
      <c r="D839" t="s">
        <v>108</v>
      </c>
      <c r="E839" t="s">
        <v>32</v>
      </c>
      <c r="F839">
        <v>5</v>
      </c>
      <c r="G839">
        <v>4937.34</v>
      </c>
      <c r="H839" s="5">
        <v>0.25</v>
      </c>
      <c r="I839" t="s">
        <v>55</v>
      </c>
      <c r="J839" t="s">
        <v>49</v>
      </c>
      <c r="K839" t="s">
        <v>18</v>
      </c>
      <c r="L839">
        <v>18515.03</v>
      </c>
      <c r="M839" s="2" t="str">
        <f t="shared" si="26"/>
        <v>Jul</v>
      </c>
      <c r="N839" s="2" t="str">
        <f t="shared" si="27"/>
        <v>medium</v>
      </c>
      <c r="O839" s="2"/>
    </row>
    <row r="840" spans="1:15">
      <c r="A840" t="s">
        <v>898</v>
      </c>
      <c r="B840" s="1">
        <v>45538</v>
      </c>
      <c r="C840" t="s">
        <v>25</v>
      </c>
      <c r="D840" t="s">
        <v>87</v>
      </c>
      <c r="E840" t="s">
        <v>80</v>
      </c>
      <c r="F840">
        <v>4</v>
      </c>
      <c r="G840">
        <v>6841.87</v>
      </c>
      <c r="H840" s="5">
        <v>0.1</v>
      </c>
      <c r="I840" t="s">
        <v>16</v>
      </c>
      <c r="J840" t="s">
        <v>29</v>
      </c>
      <c r="K840" t="s">
        <v>33</v>
      </c>
      <c r="L840">
        <v>24630.73</v>
      </c>
      <c r="M840" s="2" t="str">
        <f t="shared" si="26"/>
        <v>Sep</v>
      </c>
      <c r="N840" s="2" t="str">
        <f t="shared" si="27"/>
        <v>high</v>
      </c>
      <c r="O840" s="2"/>
    </row>
    <row r="841" spans="1:15">
      <c r="A841" t="s">
        <v>899</v>
      </c>
      <c r="B841" s="1">
        <v>45380</v>
      </c>
      <c r="C841" t="s">
        <v>20</v>
      </c>
      <c r="D841" t="s">
        <v>78</v>
      </c>
      <c r="E841" t="s">
        <v>15</v>
      </c>
      <c r="F841">
        <v>4</v>
      </c>
      <c r="G841">
        <v>1145.67</v>
      </c>
      <c r="H841" s="5">
        <v>0.25</v>
      </c>
      <c r="I841" t="s">
        <v>28</v>
      </c>
      <c r="J841" t="s">
        <v>23</v>
      </c>
      <c r="K841" t="s">
        <v>33</v>
      </c>
      <c r="L841">
        <v>3437.01</v>
      </c>
      <c r="M841" s="2" t="str">
        <f t="shared" si="26"/>
        <v>Mar</v>
      </c>
      <c r="N841" s="2" t="str">
        <f t="shared" si="27"/>
        <v>low</v>
      </c>
      <c r="O841" s="2"/>
    </row>
    <row r="842" spans="1:15">
      <c r="A842" t="s">
        <v>900</v>
      </c>
      <c r="B842" s="1">
        <v>45533</v>
      </c>
      <c r="C842" t="s">
        <v>35</v>
      </c>
      <c r="D842" t="s">
        <v>68</v>
      </c>
      <c r="E842" t="s">
        <v>47</v>
      </c>
      <c r="F842">
        <v>1</v>
      </c>
      <c r="G842">
        <v>5449.32</v>
      </c>
      <c r="H842" s="5">
        <v>0.2</v>
      </c>
      <c r="I842" t="s">
        <v>16</v>
      </c>
      <c r="J842" t="s">
        <v>49</v>
      </c>
      <c r="K842" t="s">
        <v>33</v>
      </c>
      <c r="L842">
        <v>4359.46</v>
      </c>
      <c r="M842" s="2" t="str">
        <f t="shared" si="26"/>
        <v>Aug</v>
      </c>
      <c r="N842" s="2" t="str">
        <f t="shared" si="27"/>
        <v>low</v>
      </c>
      <c r="O842" s="2"/>
    </row>
    <row r="843" spans="1:15">
      <c r="A843" t="s">
        <v>901</v>
      </c>
      <c r="B843" s="1">
        <v>45465</v>
      </c>
      <c r="C843" t="s">
        <v>25</v>
      </c>
      <c r="D843" t="s">
        <v>87</v>
      </c>
      <c r="E843" t="s">
        <v>27</v>
      </c>
      <c r="F843">
        <v>2</v>
      </c>
      <c r="G843">
        <v>4279.4799999999996</v>
      </c>
      <c r="H843" s="5">
        <v>0.2</v>
      </c>
      <c r="I843" t="s">
        <v>16</v>
      </c>
      <c r="J843" t="s">
        <v>17</v>
      </c>
      <c r="K843" t="s">
        <v>33</v>
      </c>
      <c r="L843">
        <v>6847.17</v>
      </c>
      <c r="M843" s="2" t="str">
        <f t="shared" si="26"/>
        <v>Jun</v>
      </c>
      <c r="N843" s="2" t="str">
        <f t="shared" si="27"/>
        <v>low</v>
      </c>
      <c r="O843" s="2"/>
    </row>
    <row r="844" spans="1:15">
      <c r="A844" t="s">
        <v>902</v>
      </c>
      <c r="B844" s="1">
        <v>45304</v>
      </c>
      <c r="C844" t="s">
        <v>13</v>
      </c>
      <c r="D844" t="s">
        <v>74</v>
      </c>
      <c r="E844" t="s">
        <v>47</v>
      </c>
      <c r="F844">
        <v>1</v>
      </c>
      <c r="G844">
        <v>1756.52</v>
      </c>
      <c r="H844" s="5">
        <v>0.1</v>
      </c>
      <c r="I844" t="s">
        <v>16</v>
      </c>
      <c r="J844" t="s">
        <v>40</v>
      </c>
      <c r="K844" t="s">
        <v>33</v>
      </c>
      <c r="L844">
        <v>1580.87</v>
      </c>
      <c r="M844" s="2" t="str">
        <f t="shared" si="26"/>
        <v>Jan</v>
      </c>
      <c r="N844" s="2" t="str">
        <f t="shared" si="27"/>
        <v>low</v>
      </c>
      <c r="O844" s="2"/>
    </row>
    <row r="845" spans="1:15">
      <c r="A845" t="s">
        <v>903</v>
      </c>
      <c r="B845" s="1">
        <v>45386</v>
      </c>
      <c r="C845" t="s">
        <v>25</v>
      </c>
      <c r="D845" t="s">
        <v>87</v>
      </c>
      <c r="E845" t="s">
        <v>27</v>
      </c>
      <c r="F845">
        <v>1</v>
      </c>
      <c r="G845">
        <v>1901.65</v>
      </c>
      <c r="H845" s="5">
        <v>0</v>
      </c>
      <c r="I845" t="s">
        <v>16</v>
      </c>
      <c r="J845" t="s">
        <v>40</v>
      </c>
      <c r="K845" t="s">
        <v>33</v>
      </c>
      <c r="L845">
        <v>1901.65</v>
      </c>
      <c r="M845" s="2" t="str">
        <f t="shared" si="26"/>
        <v>Apr</v>
      </c>
      <c r="N845" s="2" t="str">
        <f t="shared" si="27"/>
        <v>low</v>
      </c>
      <c r="O845" s="2"/>
    </row>
    <row r="846" spans="1:15">
      <c r="A846" t="s">
        <v>904</v>
      </c>
      <c r="B846" s="1">
        <v>45532</v>
      </c>
      <c r="C846" t="s">
        <v>13</v>
      </c>
      <c r="D846" t="s">
        <v>108</v>
      </c>
      <c r="E846" t="s">
        <v>27</v>
      </c>
      <c r="F846">
        <v>6</v>
      </c>
      <c r="G846">
        <v>6998.89</v>
      </c>
      <c r="H846" s="5">
        <v>0.05</v>
      </c>
      <c r="I846" t="s">
        <v>16</v>
      </c>
      <c r="J846" t="s">
        <v>29</v>
      </c>
      <c r="K846" t="s">
        <v>33</v>
      </c>
      <c r="L846">
        <v>39893.67</v>
      </c>
      <c r="M846" s="2" t="str">
        <f t="shared" si="26"/>
        <v>Aug</v>
      </c>
      <c r="N846" s="2" t="str">
        <f t="shared" si="27"/>
        <v>high</v>
      </c>
      <c r="O846" s="2"/>
    </row>
    <row r="847" spans="1:15">
      <c r="A847" t="s">
        <v>905</v>
      </c>
      <c r="B847" s="1">
        <v>45490</v>
      </c>
      <c r="C847" t="s">
        <v>25</v>
      </c>
      <c r="D847" t="s">
        <v>26</v>
      </c>
      <c r="E847" t="s">
        <v>80</v>
      </c>
      <c r="F847">
        <v>3</v>
      </c>
      <c r="G847">
        <v>7588.75</v>
      </c>
      <c r="H847" s="5">
        <v>0.2</v>
      </c>
      <c r="I847" t="s">
        <v>28</v>
      </c>
      <c r="J847" t="s">
        <v>17</v>
      </c>
      <c r="K847" t="s">
        <v>18</v>
      </c>
      <c r="L847">
        <v>18213</v>
      </c>
      <c r="M847" s="2" t="str">
        <f t="shared" si="26"/>
        <v>Jul</v>
      </c>
      <c r="N847" s="2" t="str">
        <f t="shared" si="27"/>
        <v>medium</v>
      </c>
      <c r="O847" s="2"/>
    </row>
    <row r="848" spans="1:15">
      <c r="A848" t="s">
        <v>906</v>
      </c>
      <c r="B848" s="1">
        <v>45645</v>
      </c>
      <c r="C848" t="s">
        <v>13</v>
      </c>
      <c r="D848" t="s">
        <v>108</v>
      </c>
      <c r="E848" t="s">
        <v>80</v>
      </c>
      <c r="F848">
        <v>2</v>
      </c>
      <c r="G848">
        <v>1848.44</v>
      </c>
      <c r="H848" s="5">
        <v>0.1</v>
      </c>
      <c r="I848" t="s">
        <v>16</v>
      </c>
      <c r="J848" t="s">
        <v>49</v>
      </c>
      <c r="K848" t="s">
        <v>33</v>
      </c>
      <c r="L848">
        <v>3327.19</v>
      </c>
      <c r="M848" s="2" t="str">
        <f t="shared" si="26"/>
        <v>Dec</v>
      </c>
      <c r="N848" s="2" t="str">
        <f t="shared" si="27"/>
        <v>low</v>
      </c>
      <c r="O848" s="2"/>
    </row>
    <row r="849" spans="1:15">
      <c r="A849" t="s">
        <v>907</v>
      </c>
      <c r="B849" s="1">
        <v>45478</v>
      </c>
      <c r="C849" t="s">
        <v>38</v>
      </c>
      <c r="D849" t="s">
        <v>39</v>
      </c>
      <c r="E849" t="s">
        <v>47</v>
      </c>
      <c r="F849">
        <v>2</v>
      </c>
      <c r="G849">
        <v>7750.41</v>
      </c>
      <c r="H849" s="5">
        <v>0.05</v>
      </c>
      <c r="I849" t="s">
        <v>16</v>
      </c>
      <c r="J849" t="s">
        <v>49</v>
      </c>
      <c r="K849" t="s">
        <v>18</v>
      </c>
      <c r="L849">
        <v>14725.78</v>
      </c>
      <c r="M849" s="2" t="str">
        <f t="shared" si="26"/>
        <v>Jul</v>
      </c>
      <c r="N849" s="2" t="str">
        <f t="shared" si="27"/>
        <v>medium</v>
      </c>
      <c r="O849" s="2"/>
    </row>
    <row r="850" spans="1:15">
      <c r="A850" t="s">
        <v>908</v>
      </c>
      <c r="B850" s="1">
        <v>45403</v>
      </c>
      <c r="C850" t="s">
        <v>20</v>
      </c>
      <c r="D850" t="s">
        <v>57</v>
      </c>
      <c r="E850" t="s">
        <v>1160</v>
      </c>
      <c r="F850">
        <v>4</v>
      </c>
      <c r="G850">
        <v>6883.6</v>
      </c>
      <c r="H850" s="5">
        <v>0</v>
      </c>
      <c r="I850" t="s">
        <v>16</v>
      </c>
      <c r="J850" t="s">
        <v>23</v>
      </c>
      <c r="K850" t="s">
        <v>33</v>
      </c>
      <c r="L850">
        <f>(F850*G850)-(F850*G850)*H850</f>
        <v>27534.400000000001</v>
      </c>
      <c r="M850" s="2" t="str">
        <f t="shared" si="26"/>
        <v>Apr</v>
      </c>
      <c r="N850" s="2" t="str">
        <f t="shared" si="27"/>
        <v>high</v>
      </c>
      <c r="O850" s="2"/>
    </row>
    <row r="851" spans="1:15">
      <c r="A851" t="s">
        <v>909</v>
      </c>
      <c r="B851" s="1">
        <v>45584</v>
      </c>
      <c r="C851" t="s">
        <v>25</v>
      </c>
      <c r="D851" t="s">
        <v>87</v>
      </c>
      <c r="E851" t="s">
        <v>27</v>
      </c>
      <c r="F851">
        <v>2</v>
      </c>
      <c r="G851">
        <v>4292.24</v>
      </c>
      <c r="H851" s="5">
        <v>0.15</v>
      </c>
      <c r="I851" t="s">
        <v>16</v>
      </c>
      <c r="J851" t="s">
        <v>23</v>
      </c>
      <c r="K851" t="s">
        <v>33</v>
      </c>
      <c r="L851">
        <v>7296.81</v>
      </c>
      <c r="M851" s="2" t="str">
        <f t="shared" si="26"/>
        <v>Oct</v>
      </c>
      <c r="N851" s="2" t="str">
        <f t="shared" si="27"/>
        <v>low</v>
      </c>
      <c r="O851" s="2"/>
    </row>
    <row r="852" spans="1:15">
      <c r="A852" t="s">
        <v>910</v>
      </c>
      <c r="B852" s="1">
        <v>45395</v>
      </c>
      <c r="C852" t="s">
        <v>13</v>
      </c>
      <c r="D852" t="s">
        <v>14</v>
      </c>
      <c r="E852" t="s">
        <v>32</v>
      </c>
      <c r="F852">
        <v>4</v>
      </c>
      <c r="G852">
        <v>7491.71</v>
      </c>
      <c r="H852" s="5">
        <v>0</v>
      </c>
      <c r="I852" t="s">
        <v>28</v>
      </c>
      <c r="J852" t="s">
        <v>17</v>
      </c>
      <c r="K852" t="s">
        <v>33</v>
      </c>
      <c r="L852">
        <v>29966.84</v>
      </c>
      <c r="M852" s="2" t="str">
        <f t="shared" si="26"/>
        <v>Apr</v>
      </c>
      <c r="N852" s="2" t="str">
        <f t="shared" si="27"/>
        <v>high</v>
      </c>
      <c r="O852" s="2"/>
    </row>
    <row r="853" spans="1:15">
      <c r="A853" t="s">
        <v>911</v>
      </c>
      <c r="B853" s="1">
        <v>45386</v>
      </c>
      <c r="C853" t="s">
        <v>13</v>
      </c>
      <c r="D853" t="s">
        <v>108</v>
      </c>
      <c r="E853" t="s">
        <v>15</v>
      </c>
      <c r="F853">
        <v>5</v>
      </c>
      <c r="G853">
        <v>4894.7700000000004</v>
      </c>
      <c r="H853" s="5">
        <v>0.1</v>
      </c>
      <c r="I853" t="s">
        <v>28</v>
      </c>
      <c r="J853" t="s">
        <v>49</v>
      </c>
      <c r="K853" t="s">
        <v>33</v>
      </c>
      <c r="L853">
        <v>22026.47</v>
      </c>
      <c r="M853" s="2" t="str">
        <f t="shared" si="26"/>
        <v>Apr</v>
      </c>
      <c r="N853" s="2" t="str">
        <f t="shared" si="27"/>
        <v>high</v>
      </c>
      <c r="O853" s="2"/>
    </row>
    <row r="854" spans="1:15">
      <c r="A854" t="s">
        <v>912</v>
      </c>
      <c r="B854" s="1">
        <v>45438</v>
      </c>
      <c r="C854" t="s">
        <v>20</v>
      </c>
      <c r="D854" t="s">
        <v>59</v>
      </c>
      <c r="E854" t="s">
        <v>53</v>
      </c>
      <c r="F854">
        <v>6</v>
      </c>
      <c r="G854">
        <v>4312.5200000000004</v>
      </c>
      <c r="H854" s="5">
        <v>0.2</v>
      </c>
      <c r="I854" t="s">
        <v>55</v>
      </c>
      <c r="J854" t="s">
        <v>29</v>
      </c>
      <c r="K854" t="s">
        <v>33</v>
      </c>
      <c r="L854">
        <f>(F854*G854)-(F854*G854)*H854</f>
        <v>20700.096000000001</v>
      </c>
      <c r="M854" s="2" t="str">
        <f t="shared" si="26"/>
        <v>May</v>
      </c>
      <c r="N854" s="2" t="str">
        <f t="shared" si="27"/>
        <v>high</v>
      </c>
      <c r="O854" s="2"/>
    </row>
    <row r="855" spans="1:15">
      <c r="A855" t="s">
        <v>913</v>
      </c>
      <c r="B855" s="1">
        <v>45511</v>
      </c>
      <c r="C855" t="s">
        <v>13</v>
      </c>
      <c r="D855" t="s">
        <v>76</v>
      </c>
      <c r="E855" t="s">
        <v>80</v>
      </c>
      <c r="F855">
        <v>1</v>
      </c>
      <c r="G855">
        <v>3245.4</v>
      </c>
      <c r="H855" s="5">
        <v>0</v>
      </c>
      <c r="I855" t="s">
        <v>28</v>
      </c>
      <c r="J855" t="s">
        <v>17</v>
      </c>
      <c r="K855" t="s">
        <v>33</v>
      </c>
      <c r="L855">
        <v>3245.4</v>
      </c>
      <c r="M855" s="2" t="str">
        <f t="shared" si="26"/>
        <v>Aug</v>
      </c>
      <c r="N855" s="2" t="str">
        <f t="shared" si="27"/>
        <v>low</v>
      </c>
      <c r="O855" s="2"/>
    </row>
    <row r="856" spans="1:15">
      <c r="A856" t="s">
        <v>914</v>
      </c>
      <c r="B856" s="1">
        <v>45473</v>
      </c>
      <c r="C856" t="s">
        <v>20</v>
      </c>
      <c r="D856" t="s">
        <v>61</v>
      </c>
      <c r="E856" t="s">
        <v>44</v>
      </c>
      <c r="F856">
        <v>2</v>
      </c>
      <c r="G856">
        <v>7262.99</v>
      </c>
      <c r="H856" s="5">
        <v>0</v>
      </c>
      <c r="I856" t="s">
        <v>16</v>
      </c>
      <c r="J856" t="s">
        <v>17</v>
      </c>
      <c r="K856" t="s">
        <v>33</v>
      </c>
      <c r="L856">
        <v>14525.98</v>
      </c>
      <c r="M856" s="2" t="str">
        <f t="shared" si="26"/>
        <v>Jun</v>
      </c>
      <c r="N856" s="2" t="str">
        <f t="shared" si="27"/>
        <v>medium</v>
      </c>
      <c r="O856" s="2"/>
    </row>
    <row r="857" spans="1:15">
      <c r="A857" t="s">
        <v>915</v>
      </c>
      <c r="B857" s="1">
        <v>45597</v>
      </c>
      <c r="C857" t="s">
        <v>38</v>
      </c>
      <c r="D857" t="s">
        <v>164</v>
      </c>
      <c r="E857" t="s">
        <v>15</v>
      </c>
      <c r="F857">
        <v>4</v>
      </c>
      <c r="G857">
        <v>5270.33</v>
      </c>
      <c r="H857" s="5">
        <v>0.1</v>
      </c>
      <c r="I857" t="s">
        <v>55</v>
      </c>
      <c r="J857" t="s">
        <v>17</v>
      </c>
      <c r="K857" t="s">
        <v>33</v>
      </c>
      <c r="L857">
        <v>18973.189999999999</v>
      </c>
      <c r="M857" s="2" t="str">
        <f t="shared" si="26"/>
        <v>Nov</v>
      </c>
      <c r="N857" s="2" t="str">
        <f t="shared" si="27"/>
        <v>medium</v>
      </c>
      <c r="O857" s="2"/>
    </row>
    <row r="858" spans="1:15">
      <c r="A858" t="s">
        <v>916</v>
      </c>
      <c r="B858" s="1">
        <v>45601</v>
      </c>
      <c r="C858" t="s">
        <v>13</v>
      </c>
      <c r="D858" t="s">
        <v>74</v>
      </c>
      <c r="E858" t="s">
        <v>15</v>
      </c>
      <c r="F858">
        <v>4</v>
      </c>
      <c r="G858">
        <v>5326.71</v>
      </c>
      <c r="H858" s="5">
        <v>0.2</v>
      </c>
      <c r="I858" t="s">
        <v>22</v>
      </c>
      <c r="J858" t="s">
        <v>17</v>
      </c>
      <c r="K858" t="s">
        <v>33</v>
      </c>
      <c r="L858">
        <v>17045.47</v>
      </c>
      <c r="M858" s="2" t="str">
        <f t="shared" si="26"/>
        <v>Nov</v>
      </c>
      <c r="N858" s="2" t="str">
        <f t="shared" si="27"/>
        <v>medium</v>
      </c>
      <c r="O858" s="2"/>
    </row>
    <row r="859" spans="1:15">
      <c r="A859" t="s">
        <v>917</v>
      </c>
      <c r="B859" s="1">
        <v>45535</v>
      </c>
      <c r="C859" t="s">
        <v>20</v>
      </c>
      <c r="D859" t="s">
        <v>57</v>
      </c>
      <c r="E859" t="s">
        <v>53</v>
      </c>
      <c r="F859">
        <v>1</v>
      </c>
      <c r="G859">
        <v>1509.89</v>
      </c>
      <c r="H859" s="5">
        <v>0.15</v>
      </c>
      <c r="I859" t="s">
        <v>16</v>
      </c>
      <c r="J859" t="s">
        <v>40</v>
      </c>
      <c r="K859" t="s">
        <v>33</v>
      </c>
      <c r="L859">
        <v>1283.4100000000001</v>
      </c>
      <c r="M859" s="2" t="str">
        <f t="shared" si="26"/>
        <v>Aug</v>
      </c>
      <c r="N859" s="2" t="str">
        <f t="shared" si="27"/>
        <v>low</v>
      </c>
      <c r="O859" s="2"/>
    </row>
    <row r="860" spans="1:15">
      <c r="A860" t="s">
        <v>918</v>
      </c>
      <c r="B860" s="1">
        <v>45614</v>
      </c>
      <c r="C860" t="s">
        <v>20</v>
      </c>
      <c r="D860" t="s">
        <v>57</v>
      </c>
      <c r="E860" t="s">
        <v>80</v>
      </c>
      <c r="F860">
        <v>2</v>
      </c>
      <c r="G860">
        <v>4797.34</v>
      </c>
      <c r="H860" s="5">
        <v>0.2</v>
      </c>
      <c r="I860" t="s">
        <v>55</v>
      </c>
      <c r="J860" t="s">
        <v>29</v>
      </c>
      <c r="K860" t="s">
        <v>33</v>
      </c>
      <c r="L860">
        <v>7675.74</v>
      </c>
      <c r="M860" s="2" t="str">
        <f t="shared" si="26"/>
        <v>Nov</v>
      </c>
      <c r="N860" s="2" t="str">
        <f t="shared" si="27"/>
        <v>low</v>
      </c>
      <c r="O860" s="2"/>
    </row>
    <row r="861" spans="1:15">
      <c r="A861" t="s">
        <v>919</v>
      </c>
      <c r="B861" s="1">
        <v>45499</v>
      </c>
      <c r="C861" t="s">
        <v>38</v>
      </c>
      <c r="D861" t="s">
        <v>51</v>
      </c>
      <c r="E861" t="s">
        <v>15</v>
      </c>
      <c r="F861">
        <v>5</v>
      </c>
      <c r="G861">
        <v>3656.2</v>
      </c>
      <c r="H861" s="5">
        <v>0</v>
      </c>
      <c r="I861" t="s">
        <v>55</v>
      </c>
      <c r="J861" t="s">
        <v>49</v>
      </c>
      <c r="K861" t="s">
        <v>33</v>
      </c>
      <c r="L861">
        <v>18281</v>
      </c>
      <c r="M861" s="2" t="str">
        <f t="shared" si="26"/>
        <v>Jul</v>
      </c>
      <c r="N861" s="2" t="str">
        <f t="shared" si="27"/>
        <v>medium</v>
      </c>
      <c r="O861" s="2"/>
    </row>
    <row r="862" spans="1:15">
      <c r="A862" t="s">
        <v>920</v>
      </c>
      <c r="B862" s="1">
        <v>45401</v>
      </c>
      <c r="C862" t="s">
        <v>38</v>
      </c>
      <c r="D862" t="s">
        <v>51</v>
      </c>
      <c r="E862" t="s">
        <v>15</v>
      </c>
      <c r="F862">
        <v>2</v>
      </c>
      <c r="G862">
        <v>214.86</v>
      </c>
      <c r="H862" s="5">
        <v>0.2</v>
      </c>
      <c r="I862" t="s">
        <v>16</v>
      </c>
      <c r="J862" t="s">
        <v>40</v>
      </c>
      <c r="K862" t="s">
        <v>33</v>
      </c>
      <c r="L862">
        <v>343.78</v>
      </c>
      <c r="M862" s="2" t="str">
        <f t="shared" si="26"/>
        <v>Apr</v>
      </c>
      <c r="N862" s="2" t="str">
        <f t="shared" si="27"/>
        <v>low</v>
      </c>
      <c r="O862" s="2"/>
    </row>
    <row r="863" spans="1:15">
      <c r="A863" t="s">
        <v>921</v>
      </c>
      <c r="B863" s="1">
        <v>45527</v>
      </c>
      <c r="C863" t="s">
        <v>38</v>
      </c>
      <c r="D863" t="s">
        <v>51</v>
      </c>
      <c r="E863" t="s">
        <v>15</v>
      </c>
      <c r="F863">
        <v>1</v>
      </c>
      <c r="G863">
        <v>1182.5999999999999</v>
      </c>
      <c r="H863" s="5">
        <v>0.1</v>
      </c>
      <c r="I863" t="s">
        <v>16</v>
      </c>
      <c r="J863" t="s">
        <v>40</v>
      </c>
      <c r="K863" t="s">
        <v>18</v>
      </c>
      <c r="L863">
        <v>1064.3399999999999</v>
      </c>
      <c r="M863" s="2" t="str">
        <f t="shared" si="26"/>
        <v>Aug</v>
      </c>
      <c r="N863" s="2" t="str">
        <f t="shared" si="27"/>
        <v>low</v>
      </c>
      <c r="O863" s="2"/>
    </row>
    <row r="864" spans="1:15">
      <c r="A864" t="s">
        <v>922</v>
      </c>
      <c r="B864" s="1">
        <v>45653</v>
      </c>
      <c r="C864" t="s">
        <v>25</v>
      </c>
      <c r="D864" t="s">
        <v>26</v>
      </c>
      <c r="E864" t="s">
        <v>15</v>
      </c>
      <c r="F864">
        <v>3</v>
      </c>
      <c r="G864">
        <v>572.30999999999995</v>
      </c>
      <c r="H864" s="5">
        <v>0</v>
      </c>
      <c r="I864" t="s">
        <v>16</v>
      </c>
      <c r="J864" t="s">
        <v>49</v>
      </c>
      <c r="K864" t="s">
        <v>33</v>
      </c>
      <c r="L864">
        <v>1716.93</v>
      </c>
      <c r="M864" s="2" t="str">
        <f t="shared" si="26"/>
        <v>Dec</v>
      </c>
      <c r="N864" s="2" t="str">
        <f t="shared" si="27"/>
        <v>low</v>
      </c>
      <c r="O864" s="2"/>
    </row>
    <row r="865" spans="1:15">
      <c r="A865" t="s">
        <v>923</v>
      </c>
      <c r="B865" s="1">
        <v>45337</v>
      </c>
      <c r="C865" t="s">
        <v>20</v>
      </c>
      <c r="D865" t="s">
        <v>21</v>
      </c>
      <c r="E865" t="s">
        <v>15</v>
      </c>
      <c r="F865">
        <v>4</v>
      </c>
      <c r="G865">
        <v>4238.09</v>
      </c>
      <c r="H865" s="5">
        <v>0.1</v>
      </c>
      <c r="I865" t="s">
        <v>16</v>
      </c>
      <c r="J865" t="s">
        <v>17</v>
      </c>
      <c r="K865" t="s">
        <v>18</v>
      </c>
      <c r="L865">
        <v>15257.12</v>
      </c>
      <c r="M865" s="2" t="str">
        <f t="shared" si="26"/>
        <v>Feb</v>
      </c>
      <c r="N865" s="2" t="str">
        <f t="shared" si="27"/>
        <v>medium</v>
      </c>
      <c r="O865" s="2"/>
    </row>
    <row r="866" spans="1:15">
      <c r="A866" t="s">
        <v>924</v>
      </c>
      <c r="B866" s="1">
        <v>45460</v>
      </c>
      <c r="C866" t="s">
        <v>25</v>
      </c>
      <c r="D866" t="s">
        <v>26</v>
      </c>
      <c r="E866" t="s">
        <v>44</v>
      </c>
      <c r="F866">
        <v>5</v>
      </c>
      <c r="G866">
        <v>6668.02</v>
      </c>
      <c r="H866" s="5">
        <v>0</v>
      </c>
      <c r="I866" t="s">
        <v>16</v>
      </c>
      <c r="J866" t="s">
        <v>40</v>
      </c>
      <c r="K866" t="s">
        <v>18</v>
      </c>
      <c r="L866">
        <v>33340.1</v>
      </c>
      <c r="M866" s="2" t="str">
        <f t="shared" si="26"/>
        <v>Jun</v>
      </c>
      <c r="N866" s="2" t="str">
        <f t="shared" si="27"/>
        <v>high</v>
      </c>
      <c r="O866" s="2"/>
    </row>
    <row r="867" spans="1:15">
      <c r="A867" t="s">
        <v>925</v>
      </c>
      <c r="B867" s="1">
        <v>45594</v>
      </c>
      <c r="C867" t="s">
        <v>13</v>
      </c>
      <c r="D867" t="s">
        <v>108</v>
      </c>
      <c r="E867" t="s">
        <v>80</v>
      </c>
      <c r="F867">
        <v>1</v>
      </c>
      <c r="G867">
        <v>7012.39</v>
      </c>
      <c r="H867" s="5">
        <v>0.05</v>
      </c>
      <c r="I867" t="s">
        <v>16</v>
      </c>
      <c r="J867" t="s">
        <v>17</v>
      </c>
      <c r="K867" t="s">
        <v>33</v>
      </c>
      <c r="L867">
        <v>6661.77</v>
      </c>
      <c r="M867" s="2" t="str">
        <f t="shared" si="26"/>
        <v>Oct</v>
      </c>
      <c r="N867" s="2" t="str">
        <f t="shared" si="27"/>
        <v>low</v>
      </c>
      <c r="O867" s="2"/>
    </row>
    <row r="868" spans="1:15">
      <c r="A868" t="s">
        <v>926</v>
      </c>
      <c r="B868" s="1">
        <v>45587</v>
      </c>
      <c r="C868" t="s">
        <v>20</v>
      </c>
      <c r="D868" t="s">
        <v>21</v>
      </c>
      <c r="E868" t="s">
        <v>1160</v>
      </c>
      <c r="F868">
        <v>5</v>
      </c>
      <c r="G868">
        <v>3338.97</v>
      </c>
      <c r="H868" s="5">
        <v>0.1</v>
      </c>
      <c r="I868" t="s">
        <v>16</v>
      </c>
      <c r="J868" t="s">
        <v>17</v>
      </c>
      <c r="K868" t="s">
        <v>33</v>
      </c>
      <c r="L868">
        <v>15025.36</v>
      </c>
      <c r="M868" s="2" t="str">
        <f t="shared" si="26"/>
        <v>Oct</v>
      </c>
      <c r="N868" s="2" t="str">
        <f t="shared" si="27"/>
        <v>medium</v>
      </c>
      <c r="O868" s="2"/>
    </row>
    <row r="869" spans="1:15">
      <c r="A869" t="s">
        <v>927</v>
      </c>
      <c r="B869" s="1">
        <v>45630</v>
      </c>
      <c r="C869" t="s">
        <v>13</v>
      </c>
      <c r="D869" t="s">
        <v>70</v>
      </c>
      <c r="E869" t="s">
        <v>32</v>
      </c>
      <c r="F869">
        <v>1</v>
      </c>
      <c r="G869">
        <v>6893.57</v>
      </c>
      <c r="H869" s="5">
        <v>0.2</v>
      </c>
      <c r="I869" t="s">
        <v>16</v>
      </c>
      <c r="J869" t="s">
        <v>23</v>
      </c>
      <c r="K869" t="s">
        <v>18</v>
      </c>
      <c r="L869">
        <v>5514.86</v>
      </c>
      <c r="M869" s="2" t="str">
        <f t="shared" si="26"/>
        <v>Dec</v>
      </c>
      <c r="N869" s="2" t="str">
        <f t="shared" si="27"/>
        <v>low</v>
      </c>
      <c r="O869" s="2"/>
    </row>
    <row r="870" spans="1:15">
      <c r="A870" t="s">
        <v>928</v>
      </c>
      <c r="B870" s="1">
        <v>45583</v>
      </c>
      <c r="C870" t="s">
        <v>20</v>
      </c>
      <c r="D870" t="s">
        <v>21</v>
      </c>
      <c r="E870" t="s">
        <v>27</v>
      </c>
      <c r="F870">
        <v>5</v>
      </c>
      <c r="G870">
        <v>2281.39</v>
      </c>
      <c r="H870" s="5">
        <v>0.1</v>
      </c>
      <c r="I870" t="s">
        <v>16</v>
      </c>
      <c r="J870" t="s">
        <v>49</v>
      </c>
      <c r="K870" t="s">
        <v>18</v>
      </c>
      <c r="L870">
        <v>10266.25</v>
      </c>
      <c r="M870" s="2" t="str">
        <f t="shared" si="26"/>
        <v>Oct</v>
      </c>
      <c r="N870" s="2" t="str">
        <f t="shared" si="27"/>
        <v>medium</v>
      </c>
      <c r="O870" s="2"/>
    </row>
    <row r="871" spans="1:15">
      <c r="A871" t="s">
        <v>929</v>
      </c>
      <c r="B871" s="1">
        <v>45388</v>
      </c>
      <c r="C871" t="s">
        <v>20</v>
      </c>
      <c r="D871" t="s">
        <v>78</v>
      </c>
      <c r="E871" t="s">
        <v>27</v>
      </c>
      <c r="F871">
        <v>5</v>
      </c>
      <c r="G871">
        <v>3639.26</v>
      </c>
      <c r="H871" s="5">
        <v>0.1</v>
      </c>
      <c r="I871" t="s">
        <v>22</v>
      </c>
      <c r="J871" t="s">
        <v>49</v>
      </c>
      <c r="K871" t="s">
        <v>33</v>
      </c>
      <c r="L871">
        <v>16376.67</v>
      </c>
      <c r="M871" s="2" t="str">
        <f t="shared" si="26"/>
        <v>Apr</v>
      </c>
      <c r="N871" s="2" t="str">
        <f t="shared" si="27"/>
        <v>medium</v>
      </c>
      <c r="O871" s="2"/>
    </row>
    <row r="872" spans="1:15">
      <c r="A872" t="s">
        <v>930</v>
      </c>
      <c r="B872" s="1">
        <v>45552</v>
      </c>
      <c r="C872" t="s">
        <v>13</v>
      </c>
      <c r="D872" t="s">
        <v>70</v>
      </c>
      <c r="E872" t="s">
        <v>27</v>
      </c>
      <c r="F872">
        <v>4</v>
      </c>
      <c r="G872">
        <v>7789.26</v>
      </c>
      <c r="H872" s="5">
        <v>0</v>
      </c>
      <c r="I872" t="s">
        <v>28</v>
      </c>
      <c r="J872" t="s">
        <v>40</v>
      </c>
      <c r="K872" t="s">
        <v>33</v>
      </c>
      <c r="L872">
        <v>31157.040000000001</v>
      </c>
      <c r="M872" s="2" t="str">
        <f t="shared" si="26"/>
        <v>Sep</v>
      </c>
      <c r="N872" s="2" t="str">
        <f t="shared" si="27"/>
        <v>high</v>
      </c>
      <c r="O872" s="2"/>
    </row>
    <row r="873" spans="1:15">
      <c r="A873" t="s">
        <v>931</v>
      </c>
      <c r="B873" s="1">
        <v>45626</v>
      </c>
      <c r="C873" t="s">
        <v>13</v>
      </c>
      <c r="D873" t="s">
        <v>14</v>
      </c>
      <c r="E873" t="s">
        <v>44</v>
      </c>
      <c r="F873">
        <v>1</v>
      </c>
      <c r="G873">
        <v>6848</v>
      </c>
      <c r="H873" s="5">
        <v>0</v>
      </c>
      <c r="I873" t="s">
        <v>16</v>
      </c>
      <c r="J873" t="s">
        <v>23</v>
      </c>
      <c r="K873" t="s">
        <v>33</v>
      </c>
      <c r="L873">
        <v>6848</v>
      </c>
      <c r="M873" s="2" t="str">
        <f t="shared" si="26"/>
        <v>Nov</v>
      </c>
      <c r="N873" s="2" t="str">
        <f t="shared" si="27"/>
        <v>low</v>
      </c>
      <c r="O873" s="2"/>
    </row>
    <row r="874" spans="1:15">
      <c r="A874" t="s">
        <v>932</v>
      </c>
      <c r="B874" s="1">
        <v>45601</v>
      </c>
      <c r="C874" t="s">
        <v>38</v>
      </c>
      <c r="D874" t="s">
        <v>51</v>
      </c>
      <c r="E874" t="s">
        <v>15</v>
      </c>
      <c r="F874">
        <v>2</v>
      </c>
      <c r="G874">
        <v>848.46</v>
      </c>
      <c r="H874" s="5">
        <v>0.15</v>
      </c>
      <c r="I874" t="s">
        <v>22</v>
      </c>
      <c r="J874" t="s">
        <v>49</v>
      </c>
      <c r="K874" t="s">
        <v>18</v>
      </c>
      <c r="L874">
        <v>1442.38</v>
      </c>
      <c r="M874" s="2" t="str">
        <f t="shared" si="26"/>
        <v>Nov</v>
      </c>
      <c r="N874" s="2" t="str">
        <f t="shared" si="27"/>
        <v>low</v>
      </c>
      <c r="O874" s="2"/>
    </row>
    <row r="875" spans="1:15">
      <c r="A875" t="s">
        <v>933</v>
      </c>
      <c r="B875" s="1">
        <v>45580</v>
      </c>
      <c r="C875" t="s">
        <v>35</v>
      </c>
      <c r="D875" t="s">
        <v>68</v>
      </c>
      <c r="E875" t="s">
        <v>53</v>
      </c>
      <c r="F875">
        <v>1</v>
      </c>
      <c r="G875">
        <v>2246.25</v>
      </c>
      <c r="H875" s="5">
        <v>0.05</v>
      </c>
      <c r="I875" t="s">
        <v>22</v>
      </c>
      <c r="J875" t="s">
        <v>49</v>
      </c>
      <c r="K875" t="s">
        <v>33</v>
      </c>
      <c r="L875">
        <v>2133.94</v>
      </c>
      <c r="M875" s="2" t="str">
        <f t="shared" si="26"/>
        <v>Oct</v>
      </c>
      <c r="N875" s="2" t="str">
        <f t="shared" si="27"/>
        <v>low</v>
      </c>
      <c r="O875" s="2"/>
    </row>
    <row r="876" spans="1:15">
      <c r="A876" t="s">
        <v>934</v>
      </c>
      <c r="B876" s="1">
        <v>45345</v>
      </c>
      <c r="C876" t="s">
        <v>38</v>
      </c>
      <c r="D876" t="s">
        <v>42</v>
      </c>
      <c r="E876" t="s">
        <v>15</v>
      </c>
      <c r="F876">
        <v>2</v>
      </c>
      <c r="G876">
        <v>3328.59</v>
      </c>
      <c r="H876" s="5">
        <v>0.2</v>
      </c>
      <c r="I876" t="s">
        <v>22</v>
      </c>
      <c r="J876" t="s">
        <v>17</v>
      </c>
      <c r="K876" t="s">
        <v>33</v>
      </c>
      <c r="L876">
        <v>5325.74</v>
      </c>
      <c r="M876" s="2" t="str">
        <f t="shared" si="26"/>
        <v>Feb</v>
      </c>
      <c r="N876" s="2" t="str">
        <f t="shared" si="27"/>
        <v>low</v>
      </c>
      <c r="O876" s="2"/>
    </row>
    <row r="877" spans="1:15">
      <c r="A877" t="s">
        <v>935</v>
      </c>
      <c r="B877" s="1">
        <v>45407</v>
      </c>
      <c r="C877" t="s">
        <v>35</v>
      </c>
      <c r="D877" t="s">
        <v>63</v>
      </c>
      <c r="E877" t="s">
        <v>44</v>
      </c>
      <c r="F877">
        <v>2</v>
      </c>
      <c r="G877">
        <v>2144.84</v>
      </c>
      <c r="H877" s="5">
        <v>0.15</v>
      </c>
      <c r="I877" t="s">
        <v>16</v>
      </c>
      <c r="J877" t="s">
        <v>29</v>
      </c>
      <c r="K877" t="s">
        <v>33</v>
      </c>
      <c r="L877">
        <v>3646.23</v>
      </c>
      <c r="M877" s="2" t="str">
        <f t="shared" si="26"/>
        <v>Apr</v>
      </c>
      <c r="N877" s="2" t="str">
        <f t="shared" si="27"/>
        <v>low</v>
      </c>
      <c r="O877" s="2"/>
    </row>
    <row r="878" spans="1:15">
      <c r="A878" t="s">
        <v>936</v>
      </c>
      <c r="B878" s="1">
        <v>45588</v>
      </c>
      <c r="C878" t="s">
        <v>13</v>
      </c>
      <c r="D878" t="s">
        <v>14</v>
      </c>
      <c r="E878" t="s">
        <v>15</v>
      </c>
      <c r="F878">
        <v>2</v>
      </c>
      <c r="G878">
        <v>2088.85</v>
      </c>
      <c r="H878" s="5">
        <v>0.2</v>
      </c>
      <c r="I878" t="s">
        <v>16</v>
      </c>
      <c r="J878" t="s">
        <v>17</v>
      </c>
      <c r="K878" t="s">
        <v>33</v>
      </c>
      <c r="L878">
        <v>3342.16</v>
      </c>
      <c r="M878" s="2" t="str">
        <f t="shared" si="26"/>
        <v>Oct</v>
      </c>
      <c r="N878" s="2" t="str">
        <f t="shared" si="27"/>
        <v>low</v>
      </c>
      <c r="O878" s="2"/>
    </row>
    <row r="879" spans="1:15">
      <c r="A879" t="s">
        <v>937</v>
      </c>
      <c r="B879" s="1">
        <v>45423</v>
      </c>
      <c r="C879" t="s">
        <v>13</v>
      </c>
      <c r="D879" t="s">
        <v>108</v>
      </c>
      <c r="E879" t="s">
        <v>1160</v>
      </c>
      <c r="F879">
        <v>5</v>
      </c>
      <c r="G879">
        <v>4282.59</v>
      </c>
      <c r="H879" s="5">
        <v>0.1</v>
      </c>
      <c r="I879" t="s">
        <v>16</v>
      </c>
      <c r="J879" t="s">
        <v>40</v>
      </c>
      <c r="K879" t="s">
        <v>18</v>
      </c>
      <c r="L879">
        <v>19271.66</v>
      </c>
      <c r="M879" s="2" t="str">
        <f t="shared" si="26"/>
        <v>May</v>
      </c>
      <c r="N879" s="2" t="str">
        <f t="shared" si="27"/>
        <v>medium</v>
      </c>
      <c r="O879" s="2"/>
    </row>
    <row r="880" spans="1:15">
      <c r="A880" t="s">
        <v>938</v>
      </c>
      <c r="B880" s="1">
        <v>45591</v>
      </c>
      <c r="C880" t="s">
        <v>35</v>
      </c>
      <c r="D880" t="s">
        <v>63</v>
      </c>
      <c r="E880" t="s">
        <v>1160</v>
      </c>
      <c r="F880">
        <v>2</v>
      </c>
      <c r="G880">
        <v>4674.4799999999996</v>
      </c>
      <c r="H880" s="5">
        <v>0.05</v>
      </c>
      <c r="I880" t="s">
        <v>16</v>
      </c>
      <c r="J880" t="s">
        <v>40</v>
      </c>
      <c r="K880" t="s">
        <v>33</v>
      </c>
      <c r="L880">
        <v>8881.51</v>
      </c>
      <c r="M880" s="2" t="str">
        <f t="shared" si="26"/>
        <v>Oct</v>
      </c>
      <c r="N880" s="2" t="str">
        <f t="shared" si="27"/>
        <v>low</v>
      </c>
      <c r="O880" s="2"/>
    </row>
    <row r="881" spans="1:15">
      <c r="A881" t="s">
        <v>939</v>
      </c>
      <c r="B881" s="1">
        <v>45441</v>
      </c>
      <c r="C881" t="s">
        <v>20</v>
      </c>
      <c r="D881" t="s">
        <v>57</v>
      </c>
      <c r="E881" t="s">
        <v>47</v>
      </c>
      <c r="F881">
        <v>4</v>
      </c>
      <c r="G881">
        <v>4390.1499999999996</v>
      </c>
      <c r="H881" s="5">
        <v>0.25</v>
      </c>
      <c r="I881" t="s">
        <v>28</v>
      </c>
      <c r="J881" t="s">
        <v>40</v>
      </c>
      <c r="K881" t="s">
        <v>33</v>
      </c>
      <c r="L881">
        <v>13170.45</v>
      </c>
      <c r="M881" s="2" t="str">
        <f t="shared" si="26"/>
        <v>May</v>
      </c>
      <c r="N881" s="2" t="str">
        <f t="shared" si="27"/>
        <v>medium</v>
      </c>
      <c r="O881" s="2"/>
    </row>
    <row r="882" spans="1:15">
      <c r="A882" t="s">
        <v>940</v>
      </c>
      <c r="B882" s="1">
        <v>45482</v>
      </c>
      <c r="C882" t="s">
        <v>38</v>
      </c>
      <c r="D882" t="s">
        <v>39</v>
      </c>
      <c r="E882" t="s">
        <v>27</v>
      </c>
      <c r="F882">
        <v>5</v>
      </c>
      <c r="G882">
        <v>6794.79</v>
      </c>
      <c r="H882" s="5">
        <v>0.1</v>
      </c>
      <c r="I882" t="s">
        <v>55</v>
      </c>
      <c r="J882" t="s">
        <v>17</v>
      </c>
      <c r="K882" t="s">
        <v>33</v>
      </c>
      <c r="L882">
        <v>30576.55</v>
      </c>
      <c r="M882" s="2" t="str">
        <f t="shared" si="26"/>
        <v>Jul</v>
      </c>
      <c r="N882" s="2" t="str">
        <f t="shared" si="27"/>
        <v>high</v>
      </c>
      <c r="O882" s="2"/>
    </row>
    <row r="883" spans="1:15">
      <c r="A883" t="s">
        <v>941</v>
      </c>
      <c r="B883" s="1">
        <v>45418</v>
      </c>
      <c r="C883" t="s">
        <v>20</v>
      </c>
      <c r="D883" t="s">
        <v>61</v>
      </c>
      <c r="E883" t="s">
        <v>32</v>
      </c>
      <c r="F883">
        <v>4</v>
      </c>
      <c r="G883">
        <v>7732.17</v>
      </c>
      <c r="H883" s="5">
        <v>0.05</v>
      </c>
      <c r="I883" t="s">
        <v>22</v>
      </c>
      <c r="J883" t="s">
        <v>23</v>
      </c>
      <c r="K883" t="s">
        <v>33</v>
      </c>
      <c r="L883">
        <v>29382.25</v>
      </c>
      <c r="M883" s="2" t="str">
        <f t="shared" si="26"/>
        <v>May</v>
      </c>
      <c r="N883" s="2" t="str">
        <f t="shared" si="27"/>
        <v>high</v>
      </c>
      <c r="O883" s="2"/>
    </row>
    <row r="884" spans="1:15">
      <c r="A884" t="s">
        <v>942</v>
      </c>
      <c r="B884" s="1">
        <v>45648</v>
      </c>
      <c r="C884" t="s">
        <v>20</v>
      </c>
      <c r="D884" t="s">
        <v>78</v>
      </c>
      <c r="E884" t="s">
        <v>27</v>
      </c>
      <c r="F884">
        <v>5</v>
      </c>
      <c r="G884">
        <v>3904.79</v>
      </c>
      <c r="H884" s="5">
        <v>0.15</v>
      </c>
      <c r="I884" t="s">
        <v>16</v>
      </c>
      <c r="J884" t="s">
        <v>29</v>
      </c>
      <c r="K884" t="s">
        <v>33</v>
      </c>
      <c r="L884">
        <v>16595.36</v>
      </c>
      <c r="M884" s="2" t="str">
        <f t="shared" si="26"/>
        <v>Dec</v>
      </c>
      <c r="N884" s="2" t="str">
        <f t="shared" si="27"/>
        <v>medium</v>
      </c>
      <c r="O884" s="2"/>
    </row>
    <row r="885" spans="1:15">
      <c r="A885" t="s">
        <v>943</v>
      </c>
      <c r="B885" s="1">
        <v>45463</v>
      </c>
      <c r="C885" t="s">
        <v>25</v>
      </c>
      <c r="D885" t="s">
        <v>46</v>
      </c>
      <c r="E885" t="s">
        <v>53</v>
      </c>
      <c r="F885">
        <v>3</v>
      </c>
      <c r="G885">
        <v>4677.2299999999996</v>
      </c>
      <c r="H885" s="5">
        <v>0.1</v>
      </c>
      <c r="I885" t="s">
        <v>16</v>
      </c>
      <c r="J885" t="s">
        <v>49</v>
      </c>
      <c r="K885" t="s">
        <v>33</v>
      </c>
      <c r="L885">
        <v>12628.52</v>
      </c>
      <c r="M885" s="2" t="str">
        <f t="shared" si="26"/>
        <v>Jun</v>
      </c>
      <c r="N885" s="2" t="str">
        <f t="shared" si="27"/>
        <v>medium</v>
      </c>
      <c r="O885" s="2"/>
    </row>
    <row r="886" spans="1:15">
      <c r="A886" t="s">
        <v>944</v>
      </c>
      <c r="B886" s="1">
        <v>45296</v>
      </c>
      <c r="C886" t="s">
        <v>35</v>
      </c>
      <c r="D886" t="s">
        <v>68</v>
      </c>
      <c r="E886" t="s">
        <v>47</v>
      </c>
      <c r="F886">
        <v>3</v>
      </c>
      <c r="G886">
        <v>4313.9399999999996</v>
      </c>
      <c r="H886" s="5">
        <v>0.05</v>
      </c>
      <c r="I886" t="s">
        <v>16</v>
      </c>
      <c r="J886" t="s">
        <v>23</v>
      </c>
      <c r="K886" t="s">
        <v>33</v>
      </c>
      <c r="L886">
        <v>12294.73</v>
      </c>
      <c r="M886" s="2" t="str">
        <f t="shared" si="26"/>
        <v>Jan</v>
      </c>
      <c r="N886" s="2" t="str">
        <f t="shared" si="27"/>
        <v>medium</v>
      </c>
      <c r="O886" s="2"/>
    </row>
    <row r="887" spans="1:15">
      <c r="A887" t="s">
        <v>945</v>
      </c>
      <c r="B887" s="1">
        <v>45462</v>
      </c>
      <c r="C887" t="s">
        <v>20</v>
      </c>
      <c r="D887" t="s">
        <v>57</v>
      </c>
      <c r="E887" t="s">
        <v>53</v>
      </c>
      <c r="F887">
        <v>1</v>
      </c>
      <c r="G887">
        <v>6576.01</v>
      </c>
      <c r="H887" s="5">
        <v>0</v>
      </c>
      <c r="I887" t="s">
        <v>16</v>
      </c>
      <c r="J887" t="s">
        <v>17</v>
      </c>
      <c r="K887" t="s">
        <v>33</v>
      </c>
      <c r="L887">
        <v>6576.01</v>
      </c>
      <c r="M887" s="2" t="str">
        <f t="shared" si="26"/>
        <v>Jun</v>
      </c>
      <c r="N887" s="2" t="str">
        <f t="shared" si="27"/>
        <v>low</v>
      </c>
      <c r="O887" s="2"/>
    </row>
    <row r="888" spans="1:15">
      <c r="A888" t="s">
        <v>946</v>
      </c>
      <c r="B888" s="1">
        <v>45522</v>
      </c>
      <c r="C888" t="s">
        <v>35</v>
      </c>
      <c r="D888" t="s">
        <v>68</v>
      </c>
      <c r="E888" t="s">
        <v>32</v>
      </c>
      <c r="F888">
        <v>3</v>
      </c>
      <c r="G888">
        <v>4483.07</v>
      </c>
      <c r="H888" s="5">
        <v>0.2</v>
      </c>
      <c r="I888" t="s">
        <v>16</v>
      </c>
      <c r="J888" t="s">
        <v>23</v>
      </c>
      <c r="K888" t="s">
        <v>33</v>
      </c>
      <c r="L888">
        <v>10759.37</v>
      </c>
      <c r="M888" s="2" t="str">
        <f t="shared" si="26"/>
        <v>Aug</v>
      </c>
      <c r="N888" s="2" t="str">
        <f t="shared" si="27"/>
        <v>medium</v>
      </c>
      <c r="O888" s="2"/>
    </row>
    <row r="889" spans="1:15">
      <c r="A889" t="s">
        <v>947</v>
      </c>
      <c r="B889" s="1">
        <v>45379</v>
      </c>
      <c r="C889" t="s">
        <v>13</v>
      </c>
      <c r="D889" t="s">
        <v>70</v>
      </c>
      <c r="E889" t="s">
        <v>80</v>
      </c>
      <c r="F889">
        <v>1</v>
      </c>
      <c r="G889">
        <v>5313.03</v>
      </c>
      <c r="H889" s="5">
        <v>0</v>
      </c>
      <c r="I889" t="s">
        <v>28</v>
      </c>
      <c r="J889" t="s">
        <v>23</v>
      </c>
      <c r="K889" t="s">
        <v>33</v>
      </c>
      <c r="L889">
        <v>5313.03</v>
      </c>
      <c r="M889" s="2" t="str">
        <f t="shared" si="26"/>
        <v>Mar</v>
      </c>
      <c r="N889" s="2" t="str">
        <f t="shared" si="27"/>
        <v>low</v>
      </c>
      <c r="O889" s="2"/>
    </row>
    <row r="890" spans="1:15">
      <c r="A890" t="s">
        <v>948</v>
      </c>
      <c r="B890" s="1">
        <v>45652</v>
      </c>
      <c r="C890" t="s">
        <v>35</v>
      </c>
      <c r="D890" t="s">
        <v>36</v>
      </c>
      <c r="E890" t="s">
        <v>32</v>
      </c>
      <c r="F890">
        <v>1</v>
      </c>
      <c r="G890">
        <v>7270.5</v>
      </c>
      <c r="H890" s="5">
        <v>0</v>
      </c>
      <c r="I890" t="s">
        <v>22</v>
      </c>
      <c r="J890" t="s">
        <v>49</v>
      </c>
      <c r="K890" t="s">
        <v>33</v>
      </c>
      <c r="L890">
        <v>7270.5</v>
      </c>
      <c r="M890" s="2" t="str">
        <f t="shared" si="26"/>
        <v>Dec</v>
      </c>
      <c r="N890" s="2" t="str">
        <f t="shared" si="27"/>
        <v>low</v>
      </c>
      <c r="O890" s="2"/>
    </row>
    <row r="891" spans="1:15">
      <c r="A891" t="s">
        <v>949</v>
      </c>
      <c r="B891" s="1">
        <v>45410</v>
      </c>
      <c r="C891" t="s">
        <v>35</v>
      </c>
      <c r="D891" t="s">
        <v>63</v>
      </c>
      <c r="E891" t="s">
        <v>44</v>
      </c>
      <c r="F891">
        <v>3</v>
      </c>
      <c r="G891">
        <v>6080.56</v>
      </c>
      <c r="H891" s="5">
        <v>0.05</v>
      </c>
      <c r="I891" t="s">
        <v>16</v>
      </c>
      <c r="J891" t="s">
        <v>40</v>
      </c>
      <c r="K891" t="s">
        <v>33</v>
      </c>
      <c r="L891">
        <v>17329.599999999999</v>
      </c>
      <c r="M891" s="2" t="str">
        <f t="shared" si="26"/>
        <v>Apr</v>
      </c>
      <c r="N891" s="2" t="str">
        <f t="shared" si="27"/>
        <v>medium</v>
      </c>
      <c r="O891" s="2"/>
    </row>
    <row r="892" spans="1:15">
      <c r="A892" t="s">
        <v>950</v>
      </c>
      <c r="B892" s="1">
        <v>45512</v>
      </c>
      <c r="C892" t="s">
        <v>13</v>
      </c>
      <c r="D892" t="s">
        <v>14</v>
      </c>
      <c r="E892" t="s">
        <v>15</v>
      </c>
      <c r="F892">
        <v>2</v>
      </c>
      <c r="G892">
        <v>3394.83</v>
      </c>
      <c r="H892" s="5">
        <v>0</v>
      </c>
      <c r="I892" t="s">
        <v>28</v>
      </c>
      <c r="J892" t="s">
        <v>29</v>
      </c>
      <c r="K892" t="s">
        <v>33</v>
      </c>
      <c r="L892">
        <v>6789.66</v>
      </c>
      <c r="M892" s="2" t="str">
        <f t="shared" si="26"/>
        <v>Aug</v>
      </c>
      <c r="N892" s="2" t="str">
        <f t="shared" si="27"/>
        <v>low</v>
      </c>
      <c r="O892" s="2"/>
    </row>
    <row r="893" spans="1:15">
      <c r="A893" t="s">
        <v>951</v>
      </c>
      <c r="B893" s="1">
        <v>45582</v>
      </c>
      <c r="C893" t="s">
        <v>35</v>
      </c>
      <c r="D893" t="s">
        <v>63</v>
      </c>
      <c r="E893" t="s">
        <v>47</v>
      </c>
      <c r="F893">
        <v>6</v>
      </c>
      <c r="G893">
        <v>4165.3999999999996</v>
      </c>
      <c r="H893" s="5">
        <v>0</v>
      </c>
      <c r="I893" t="s">
        <v>28</v>
      </c>
      <c r="J893" t="s">
        <v>17</v>
      </c>
      <c r="K893" t="s">
        <v>33</v>
      </c>
      <c r="L893">
        <v>24992.400000000001</v>
      </c>
      <c r="M893" s="2" t="str">
        <f t="shared" si="26"/>
        <v>Oct</v>
      </c>
      <c r="N893" s="2" t="str">
        <f t="shared" si="27"/>
        <v>high</v>
      </c>
      <c r="O893" s="2"/>
    </row>
    <row r="894" spans="1:15">
      <c r="A894" t="s">
        <v>952</v>
      </c>
      <c r="B894" s="1">
        <v>45549</v>
      </c>
      <c r="C894" t="s">
        <v>13</v>
      </c>
      <c r="D894" t="s">
        <v>74</v>
      </c>
      <c r="E894" t="s">
        <v>15</v>
      </c>
      <c r="F894">
        <v>5</v>
      </c>
      <c r="G894">
        <v>2835.98</v>
      </c>
      <c r="H894" s="5">
        <v>0.1</v>
      </c>
      <c r="I894" t="s">
        <v>16</v>
      </c>
      <c r="J894" t="s">
        <v>29</v>
      </c>
      <c r="K894" t="s">
        <v>18</v>
      </c>
      <c r="L894">
        <v>12761.91</v>
      </c>
      <c r="M894" s="2" t="str">
        <f t="shared" si="26"/>
        <v>Sep</v>
      </c>
      <c r="N894" s="2" t="str">
        <f t="shared" si="27"/>
        <v>medium</v>
      </c>
      <c r="O894" s="2"/>
    </row>
    <row r="895" spans="1:15">
      <c r="A895" t="s">
        <v>953</v>
      </c>
      <c r="B895" s="1">
        <v>45557</v>
      </c>
      <c r="C895" t="s">
        <v>35</v>
      </c>
      <c r="D895" t="s">
        <v>36</v>
      </c>
      <c r="E895" t="s">
        <v>1160</v>
      </c>
      <c r="F895">
        <v>3</v>
      </c>
      <c r="G895">
        <v>7818.82</v>
      </c>
      <c r="H895" s="5">
        <v>0.15</v>
      </c>
      <c r="I895" t="s">
        <v>16</v>
      </c>
      <c r="J895" t="s">
        <v>17</v>
      </c>
      <c r="K895" t="s">
        <v>33</v>
      </c>
      <c r="L895">
        <v>19937.990000000002</v>
      </c>
      <c r="M895" s="2" t="str">
        <f t="shared" si="26"/>
        <v>Sep</v>
      </c>
      <c r="N895" s="2" t="str">
        <f t="shared" si="27"/>
        <v>medium</v>
      </c>
      <c r="O895" s="2"/>
    </row>
    <row r="896" spans="1:15">
      <c r="A896" t="s">
        <v>954</v>
      </c>
      <c r="B896" s="1">
        <v>45356</v>
      </c>
      <c r="C896" t="s">
        <v>20</v>
      </c>
      <c r="D896" t="s">
        <v>59</v>
      </c>
      <c r="E896" t="s">
        <v>80</v>
      </c>
      <c r="F896">
        <v>6</v>
      </c>
      <c r="G896">
        <v>4716.21</v>
      </c>
      <c r="H896" s="5">
        <v>0.1</v>
      </c>
      <c r="I896" t="s">
        <v>16</v>
      </c>
      <c r="J896" t="s">
        <v>29</v>
      </c>
      <c r="K896" t="s">
        <v>18</v>
      </c>
      <c r="L896">
        <v>25467.53</v>
      </c>
      <c r="M896" s="2" t="str">
        <f t="shared" si="26"/>
        <v>Mar</v>
      </c>
      <c r="N896" s="2" t="str">
        <f t="shared" si="27"/>
        <v>high</v>
      </c>
      <c r="O896" s="2"/>
    </row>
    <row r="897" spans="1:15">
      <c r="A897" t="s">
        <v>955</v>
      </c>
      <c r="B897" s="1">
        <v>45629</v>
      </c>
      <c r="C897" t="s">
        <v>20</v>
      </c>
      <c r="D897" t="s">
        <v>57</v>
      </c>
      <c r="E897" t="s">
        <v>27</v>
      </c>
      <c r="F897">
        <v>1</v>
      </c>
      <c r="G897">
        <v>4193.9399999999996</v>
      </c>
      <c r="H897" s="5">
        <v>0.25</v>
      </c>
      <c r="I897" t="s">
        <v>55</v>
      </c>
      <c r="J897" t="s">
        <v>23</v>
      </c>
      <c r="K897" t="s">
        <v>18</v>
      </c>
      <c r="L897">
        <f>(F897*G897)-(F897*G897)*H897</f>
        <v>3145.4549999999999</v>
      </c>
      <c r="M897" s="2" t="str">
        <f t="shared" si="26"/>
        <v>Dec</v>
      </c>
      <c r="N897" s="2" t="str">
        <f t="shared" si="27"/>
        <v>low</v>
      </c>
      <c r="O897" s="2"/>
    </row>
    <row r="898" spans="1:15">
      <c r="A898" t="s">
        <v>956</v>
      </c>
      <c r="B898" s="1">
        <v>45437</v>
      </c>
      <c r="C898" t="s">
        <v>38</v>
      </c>
      <c r="D898" t="s">
        <v>42</v>
      </c>
      <c r="E898" t="s">
        <v>1160</v>
      </c>
      <c r="F898">
        <v>1</v>
      </c>
      <c r="G898">
        <v>7721.17</v>
      </c>
      <c r="H898" s="5">
        <v>0.05</v>
      </c>
      <c r="I898" t="s">
        <v>22</v>
      </c>
      <c r="J898" t="s">
        <v>23</v>
      </c>
      <c r="K898" t="s">
        <v>33</v>
      </c>
      <c r="L898">
        <v>7335.11</v>
      </c>
      <c r="M898" s="2" t="str">
        <f t="shared" ref="M898:M961" si="28">TEXT(B898,"mmm")</f>
        <v>May</v>
      </c>
      <c r="N898" s="2" t="str">
        <f t="shared" ref="N898:N961" si="29">IF(L898&gt;20000,"high",IF(L898&gt;10000,"medium","low"))</f>
        <v>low</v>
      </c>
      <c r="O898" s="2"/>
    </row>
    <row r="899" spans="1:15">
      <c r="A899" t="s">
        <v>957</v>
      </c>
      <c r="B899" s="1">
        <v>45564</v>
      </c>
      <c r="C899" t="s">
        <v>25</v>
      </c>
      <c r="D899" t="s">
        <v>46</v>
      </c>
      <c r="E899" t="s">
        <v>47</v>
      </c>
      <c r="F899">
        <v>5</v>
      </c>
      <c r="G899">
        <v>4319.1000000000004</v>
      </c>
      <c r="H899" s="5">
        <v>0.05</v>
      </c>
      <c r="I899" t="s">
        <v>16</v>
      </c>
      <c r="J899" t="s">
        <v>29</v>
      </c>
      <c r="K899" t="s">
        <v>18</v>
      </c>
      <c r="L899">
        <v>20515.72</v>
      </c>
      <c r="M899" s="2" t="str">
        <f t="shared" si="28"/>
        <v>Sep</v>
      </c>
      <c r="N899" s="2" t="str">
        <f t="shared" si="29"/>
        <v>high</v>
      </c>
      <c r="O899" s="2"/>
    </row>
    <row r="900" spans="1:15">
      <c r="A900" t="s">
        <v>958</v>
      </c>
      <c r="B900" s="1">
        <v>45307</v>
      </c>
      <c r="C900" t="s">
        <v>13</v>
      </c>
      <c r="D900" t="s">
        <v>108</v>
      </c>
      <c r="E900" t="s">
        <v>44</v>
      </c>
      <c r="F900">
        <v>4</v>
      </c>
      <c r="G900">
        <v>7213.88</v>
      </c>
      <c r="H900" s="5">
        <v>0.2</v>
      </c>
      <c r="I900" t="s">
        <v>16</v>
      </c>
      <c r="J900" t="s">
        <v>49</v>
      </c>
      <c r="K900" t="s">
        <v>33</v>
      </c>
      <c r="L900">
        <v>23084.42</v>
      </c>
      <c r="M900" s="2" t="str">
        <f t="shared" si="28"/>
        <v>Jan</v>
      </c>
      <c r="N900" s="2" t="str">
        <f t="shared" si="29"/>
        <v>high</v>
      </c>
      <c r="O900" s="2"/>
    </row>
    <row r="901" spans="1:15">
      <c r="A901" t="s">
        <v>959</v>
      </c>
      <c r="B901" s="1">
        <v>45306</v>
      </c>
      <c r="C901" t="s">
        <v>13</v>
      </c>
      <c r="D901" t="s">
        <v>70</v>
      </c>
      <c r="E901" t="s">
        <v>32</v>
      </c>
      <c r="F901">
        <v>6</v>
      </c>
      <c r="G901">
        <v>1825.78</v>
      </c>
      <c r="H901" s="5">
        <v>0.25</v>
      </c>
      <c r="I901" t="s">
        <v>16</v>
      </c>
      <c r="J901" t="s">
        <v>49</v>
      </c>
      <c r="K901" t="s">
        <v>33</v>
      </c>
      <c r="L901">
        <v>8216.01</v>
      </c>
      <c r="M901" s="2" t="str">
        <f t="shared" si="28"/>
        <v>Jan</v>
      </c>
      <c r="N901" s="2" t="str">
        <f t="shared" si="29"/>
        <v>low</v>
      </c>
      <c r="O901" s="2"/>
    </row>
    <row r="902" spans="1:15">
      <c r="A902" t="s">
        <v>960</v>
      </c>
      <c r="B902" s="1">
        <v>45390</v>
      </c>
      <c r="C902" t="s">
        <v>35</v>
      </c>
      <c r="D902" t="s">
        <v>36</v>
      </c>
      <c r="E902" t="s">
        <v>47</v>
      </c>
      <c r="F902">
        <v>3</v>
      </c>
      <c r="G902">
        <v>3924.76</v>
      </c>
      <c r="H902" s="5">
        <v>0.05</v>
      </c>
      <c r="I902" t="s">
        <v>16</v>
      </c>
      <c r="J902" t="s">
        <v>40</v>
      </c>
      <c r="K902" t="s">
        <v>33</v>
      </c>
      <c r="L902">
        <v>11185.57</v>
      </c>
      <c r="M902" s="2" t="str">
        <f t="shared" si="28"/>
        <v>Apr</v>
      </c>
      <c r="N902" s="2" t="str">
        <f t="shared" si="29"/>
        <v>medium</v>
      </c>
      <c r="O902" s="2"/>
    </row>
    <row r="903" spans="1:15">
      <c r="A903" t="s">
        <v>961</v>
      </c>
      <c r="B903" s="1">
        <v>45363</v>
      </c>
      <c r="C903" t="s">
        <v>13</v>
      </c>
      <c r="D903" t="s">
        <v>74</v>
      </c>
      <c r="E903" t="s">
        <v>53</v>
      </c>
      <c r="F903">
        <v>6</v>
      </c>
      <c r="G903">
        <v>1508.88</v>
      </c>
      <c r="H903" s="5">
        <v>0.1</v>
      </c>
      <c r="I903" t="s">
        <v>28</v>
      </c>
      <c r="J903" t="s">
        <v>23</v>
      </c>
      <c r="K903" t="s">
        <v>33</v>
      </c>
      <c r="L903">
        <v>8147.95</v>
      </c>
      <c r="M903" s="2" t="str">
        <f t="shared" si="28"/>
        <v>Mar</v>
      </c>
      <c r="N903" s="2" t="str">
        <f t="shared" si="29"/>
        <v>low</v>
      </c>
      <c r="O903" s="2"/>
    </row>
    <row r="904" spans="1:15">
      <c r="A904" t="s">
        <v>962</v>
      </c>
      <c r="B904" s="1">
        <v>45637</v>
      </c>
      <c r="C904" t="s">
        <v>35</v>
      </c>
      <c r="D904" t="s">
        <v>97</v>
      </c>
      <c r="E904" t="s">
        <v>27</v>
      </c>
      <c r="F904">
        <v>3</v>
      </c>
      <c r="G904">
        <v>1816.93</v>
      </c>
      <c r="H904" s="5">
        <v>0.25</v>
      </c>
      <c r="I904" t="s">
        <v>16</v>
      </c>
      <c r="J904" t="s">
        <v>40</v>
      </c>
      <c r="K904" t="s">
        <v>18</v>
      </c>
      <c r="L904">
        <v>4088.09</v>
      </c>
      <c r="M904" s="2" t="str">
        <f t="shared" si="28"/>
        <v>Dec</v>
      </c>
      <c r="N904" s="2" t="str">
        <f t="shared" si="29"/>
        <v>low</v>
      </c>
      <c r="O904" s="2"/>
    </row>
    <row r="905" spans="1:15">
      <c r="A905" t="s">
        <v>963</v>
      </c>
      <c r="B905" s="1">
        <v>45640</v>
      </c>
      <c r="C905" t="s">
        <v>20</v>
      </c>
      <c r="D905" t="s">
        <v>21</v>
      </c>
      <c r="E905" t="s">
        <v>53</v>
      </c>
      <c r="F905">
        <v>1</v>
      </c>
      <c r="G905">
        <v>5375.47</v>
      </c>
      <c r="H905" s="5">
        <v>0.1</v>
      </c>
      <c r="I905" t="s">
        <v>28</v>
      </c>
      <c r="J905" t="s">
        <v>40</v>
      </c>
      <c r="K905" t="s">
        <v>18</v>
      </c>
      <c r="L905">
        <v>4837.92</v>
      </c>
      <c r="M905" s="2" t="str">
        <f t="shared" si="28"/>
        <v>Dec</v>
      </c>
      <c r="N905" s="2" t="str">
        <f t="shared" si="29"/>
        <v>low</v>
      </c>
      <c r="O905" s="2"/>
    </row>
    <row r="906" spans="1:15">
      <c r="A906" t="s">
        <v>964</v>
      </c>
      <c r="B906" s="1">
        <v>45580</v>
      </c>
      <c r="C906" t="s">
        <v>25</v>
      </c>
      <c r="D906" t="s">
        <v>87</v>
      </c>
      <c r="E906" t="s">
        <v>27</v>
      </c>
      <c r="F906">
        <v>4</v>
      </c>
      <c r="G906">
        <v>6652.02</v>
      </c>
      <c r="H906" s="5">
        <v>0.1</v>
      </c>
      <c r="I906" t="s">
        <v>22</v>
      </c>
      <c r="J906" t="s">
        <v>40</v>
      </c>
      <c r="K906" t="s">
        <v>33</v>
      </c>
      <c r="L906">
        <v>23947.27</v>
      </c>
      <c r="M906" s="2" t="str">
        <f t="shared" si="28"/>
        <v>Oct</v>
      </c>
      <c r="N906" s="2" t="str">
        <f t="shared" si="29"/>
        <v>high</v>
      </c>
      <c r="O906" s="2"/>
    </row>
    <row r="907" spans="1:15">
      <c r="A907" t="s">
        <v>965</v>
      </c>
      <c r="B907" s="1">
        <v>45546</v>
      </c>
      <c r="C907" t="s">
        <v>20</v>
      </c>
      <c r="D907" t="s">
        <v>61</v>
      </c>
      <c r="E907" t="s">
        <v>32</v>
      </c>
      <c r="F907">
        <v>1</v>
      </c>
      <c r="G907">
        <v>4714.26</v>
      </c>
      <c r="H907" s="5">
        <v>0.15</v>
      </c>
      <c r="I907" t="s">
        <v>22</v>
      </c>
      <c r="J907" t="s">
        <v>29</v>
      </c>
      <c r="K907" t="s">
        <v>18</v>
      </c>
      <c r="L907">
        <v>4007.12</v>
      </c>
      <c r="M907" s="2" t="str">
        <f t="shared" si="28"/>
        <v>Sep</v>
      </c>
      <c r="N907" s="2" t="str">
        <f t="shared" si="29"/>
        <v>low</v>
      </c>
      <c r="O907" s="2"/>
    </row>
    <row r="908" spans="1:15">
      <c r="A908" t="s">
        <v>966</v>
      </c>
      <c r="B908" s="1">
        <v>45460</v>
      </c>
      <c r="C908" t="s">
        <v>20</v>
      </c>
      <c r="D908" t="s">
        <v>57</v>
      </c>
      <c r="E908" t="s">
        <v>53</v>
      </c>
      <c r="F908">
        <v>1</v>
      </c>
      <c r="G908">
        <v>1328.28</v>
      </c>
      <c r="H908" s="5">
        <v>0</v>
      </c>
      <c r="I908" t="s">
        <v>22</v>
      </c>
      <c r="J908" t="s">
        <v>29</v>
      </c>
      <c r="K908" t="s">
        <v>33</v>
      </c>
      <c r="L908">
        <v>1328.28</v>
      </c>
      <c r="M908" s="2" t="str">
        <f t="shared" si="28"/>
        <v>Jun</v>
      </c>
      <c r="N908" s="2" t="str">
        <f t="shared" si="29"/>
        <v>low</v>
      </c>
      <c r="O908" s="2"/>
    </row>
    <row r="909" spans="1:15">
      <c r="A909" t="s">
        <v>967</v>
      </c>
      <c r="B909" s="1">
        <v>45548</v>
      </c>
      <c r="C909" t="s">
        <v>35</v>
      </c>
      <c r="D909" t="s">
        <v>65</v>
      </c>
      <c r="E909" t="s">
        <v>80</v>
      </c>
      <c r="F909">
        <v>4</v>
      </c>
      <c r="G909">
        <v>2221.23</v>
      </c>
      <c r="H909" s="5">
        <v>0</v>
      </c>
      <c r="I909" t="s">
        <v>22</v>
      </c>
      <c r="J909" t="s">
        <v>49</v>
      </c>
      <c r="K909" t="s">
        <v>33</v>
      </c>
      <c r="L909">
        <v>8884.92</v>
      </c>
      <c r="M909" s="2" t="str">
        <f t="shared" si="28"/>
        <v>Sep</v>
      </c>
      <c r="N909" s="2" t="str">
        <f t="shared" si="29"/>
        <v>low</v>
      </c>
      <c r="O909" s="2"/>
    </row>
    <row r="910" spans="1:15">
      <c r="A910" t="s">
        <v>968</v>
      </c>
      <c r="B910" s="1">
        <v>45445</v>
      </c>
      <c r="C910" t="s">
        <v>35</v>
      </c>
      <c r="D910" t="s">
        <v>97</v>
      </c>
      <c r="E910" t="s">
        <v>27</v>
      </c>
      <c r="F910">
        <v>4</v>
      </c>
      <c r="G910">
        <v>4195.33</v>
      </c>
      <c r="H910" s="5">
        <v>0.15</v>
      </c>
      <c r="I910" t="s">
        <v>28</v>
      </c>
      <c r="J910" t="s">
        <v>17</v>
      </c>
      <c r="K910" t="s">
        <v>33</v>
      </c>
      <c r="L910">
        <v>14264.12</v>
      </c>
      <c r="M910" s="2" t="str">
        <f t="shared" si="28"/>
        <v>Jun</v>
      </c>
      <c r="N910" s="2" t="str">
        <f t="shared" si="29"/>
        <v>medium</v>
      </c>
      <c r="O910" s="2"/>
    </row>
    <row r="911" spans="1:15">
      <c r="A911" t="s">
        <v>969</v>
      </c>
      <c r="B911" s="1">
        <v>45341</v>
      </c>
      <c r="C911" t="s">
        <v>38</v>
      </c>
      <c r="D911" t="s">
        <v>164</v>
      </c>
      <c r="E911" t="s">
        <v>1160</v>
      </c>
      <c r="F911">
        <v>6</v>
      </c>
      <c r="G911">
        <v>7816.03</v>
      </c>
      <c r="H911" s="5">
        <v>0.1</v>
      </c>
      <c r="I911" t="s">
        <v>55</v>
      </c>
      <c r="J911" t="s">
        <v>17</v>
      </c>
      <c r="K911" t="s">
        <v>33</v>
      </c>
      <c r="L911">
        <v>42206.559999999998</v>
      </c>
      <c r="M911" s="2" t="str">
        <f t="shared" si="28"/>
        <v>Feb</v>
      </c>
      <c r="N911" s="2" t="str">
        <f t="shared" si="29"/>
        <v>high</v>
      </c>
      <c r="O911" s="2"/>
    </row>
    <row r="912" spans="1:15">
      <c r="A912" t="s">
        <v>970</v>
      </c>
      <c r="B912" s="1">
        <v>45509</v>
      </c>
      <c r="C912" t="s">
        <v>20</v>
      </c>
      <c r="D912" t="s">
        <v>21</v>
      </c>
      <c r="E912" t="s">
        <v>44</v>
      </c>
      <c r="F912">
        <v>5</v>
      </c>
      <c r="G912">
        <v>6634.62</v>
      </c>
      <c r="H912" s="5">
        <v>0.2</v>
      </c>
      <c r="I912" t="s">
        <v>16</v>
      </c>
      <c r="J912" t="s">
        <v>49</v>
      </c>
      <c r="K912" t="s">
        <v>33</v>
      </c>
      <c r="L912">
        <v>26538.48</v>
      </c>
      <c r="M912" s="2" t="str">
        <f t="shared" si="28"/>
        <v>Aug</v>
      </c>
      <c r="N912" s="2" t="str">
        <f t="shared" si="29"/>
        <v>high</v>
      </c>
      <c r="O912" s="2"/>
    </row>
    <row r="913" spans="1:15">
      <c r="A913" t="s">
        <v>971</v>
      </c>
      <c r="B913" s="1">
        <v>45350</v>
      </c>
      <c r="C913" t="s">
        <v>20</v>
      </c>
      <c r="D913" t="s">
        <v>59</v>
      </c>
      <c r="E913" t="s">
        <v>53</v>
      </c>
      <c r="F913">
        <v>2</v>
      </c>
      <c r="G913">
        <v>6232.66</v>
      </c>
      <c r="H913" s="5">
        <v>0</v>
      </c>
      <c r="I913" t="s">
        <v>28</v>
      </c>
      <c r="J913" t="s">
        <v>49</v>
      </c>
      <c r="K913" t="s">
        <v>33</v>
      </c>
      <c r="L913">
        <v>12465.32</v>
      </c>
      <c r="M913" s="2" t="str">
        <f t="shared" si="28"/>
        <v>Feb</v>
      </c>
      <c r="N913" s="2" t="str">
        <f t="shared" si="29"/>
        <v>medium</v>
      </c>
      <c r="O913" s="2"/>
    </row>
    <row r="914" spans="1:15">
      <c r="A914" t="s">
        <v>972</v>
      </c>
      <c r="B914" s="1">
        <v>45301</v>
      </c>
      <c r="C914" t="s">
        <v>38</v>
      </c>
      <c r="D914" t="s">
        <v>42</v>
      </c>
      <c r="E914" t="s">
        <v>47</v>
      </c>
      <c r="F914">
        <v>3</v>
      </c>
      <c r="G914">
        <v>2140.23</v>
      </c>
      <c r="H914" s="5">
        <v>0.2</v>
      </c>
      <c r="I914" t="s">
        <v>22</v>
      </c>
      <c r="J914" t="s">
        <v>29</v>
      </c>
      <c r="K914" t="s">
        <v>33</v>
      </c>
      <c r="L914">
        <f>(F914*G914)-(F914*G914)*H914</f>
        <v>5136.5520000000006</v>
      </c>
      <c r="M914" s="2" t="str">
        <f t="shared" si="28"/>
        <v>Jan</v>
      </c>
      <c r="N914" s="2" t="str">
        <f t="shared" si="29"/>
        <v>low</v>
      </c>
      <c r="O914" s="2"/>
    </row>
    <row r="915" spans="1:15">
      <c r="A915" t="s">
        <v>973</v>
      </c>
      <c r="B915" s="1">
        <v>45460</v>
      </c>
      <c r="C915" t="s">
        <v>25</v>
      </c>
      <c r="D915" t="s">
        <v>31</v>
      </c>
      <c r="E915" t="s">
        <v>15</v>
      </c>
      <c r="F915">
        <v>1</v>
      </c>
      <c r="G915">
        <v>956.67</v>
      </c>
      <c r="H915" s="5">
        <v>0.05</v>
      </c>
      <c r="I915" t="s">
        <v>55</v>
      </c>
      <c r="J915" t="s">
        <v>23</v>
      </c>
      <c r="K915" t="s">
        <v>33</v>
      </c>
      <c r="L915">
        <v>908.84</v>
      </c>
      <c r="M915" s="2" t="str">
        <f t="shared" si="28"/>
        <v>Jun</v>
      </c>
      <c r="N915" s="2" t="str">
        <f t="shared" si="29"/>
        <v>low</v>
      </c>
      <c r="O915" s="2"/>
    </row>
    <row r="916" spans="1:15">
      <c r="A916" t="s">
        <v>974</v>
      </c>
      <c r="B916" s="1">
        <v>45565</v>
      </c>
      <c r="C916" t="s">
        <v>13</v>
      </c>
      <c r="D916" t="s">
        <v>14</v>
      </c>
      <c r="E916" t="s">
        <v>80</v>
      </c>
      <c r="F916">
        <v>3</v>
      </c>
      <c r="G916">
        <v>2381.37</v>
      </c>
      <c r="H916" s="5">
        <v>0.1</v>
      </c>
      <c r="I916" t="s">
        <v>22</v>
      </c>
      <c r="J916" t="s">
        <v>17</v>
      </c>
      <c r="K916" t="s">
        <v>33</v>
      </c>
      <c r="L916">
        <v>6429.7</v>
      </c>
      <c r="M916" s="2" t="str">
        <f t="shared" si="28"/>
        <v>Sep</v>
      </c>
      <c r="N916" s="2" t="str">
        <f t="shared" si="29"/>
        <v>low</v>
      </c>
      <c r="O916" s="2"/>
    </row>
    <row r="917" spans="1:15">
      <c r="A917" t="s">
        <v>975</v>
      </c>
      <c r="B917" s="1">
        <v>45307</v>
      </c>
      <c r="C917" t="s">
        <v>20</v>
      </c>
      <c r="D917" t="s">
        <v>57</v>
      </c>
      <c r="E917" t="s">
        <v>53</v>
      </c>
      <c r="F917">
        <v>6</v>
      </c>
      <c r="G917">
        <v>6747.64</v>
      </c>
      <c r="H917" s="5">
        <v>0</v>
      </c>
      <c r="I917" t="s">
        <v>16</v>
      </c>
      <c r="J917" t="s">
        <v>23</v>
      </c>
      <c r="K917" t="s">
        <v>33</v>
      </c>
      <c r="L917">
        <v>40485.839999999997</v>
      </c>
      <c r="M917" s="2" t="str">
        <f t="shared" si="28"/>
        <v>Jan</v>
      </c>
      <c r="N917" s="2" t="str">
        <f t="shared" si="29"/>
        <v>high</v>
      </c>
      <c r="O917" s="2"/>
    </row>
    <row r="918" spans="1:15">
      <c r="A918" t="s">
        <v>976</v>
      </c>
      <c r="B918" s="1">
        <v>45293</v>
      </c>
      <c r="C918" t="s">
        <v>25</v>
      </c>
      <c r="D918" t="s">
        <v>87</v>
      </c>
      <c r="E918" t="s">
        <v>44</v>
      </c>
      <c r="F918">
        <v>1</v>
      </c>
      <c r="G918">
        <v>5743.91</v>
      </c>
      <c r="H918" s="5">
        <v>0</v>
      </c>
      <c r="I918" t="s">
        <v>16</v>
      </c>
      <c r="J918" t="s">
        <v>17</v>
      </c>
      <c r="K918" t="s">
        <v>33</v>
      </c>
      <c r="L918">
        <v>5743.91</v>
      </c>
      <c r="M918" s="2" t="str">
        <f t="shared" si="28"/>
        <v>Jan</v>
      </c>
      <c r="N918" s="2" t="str">
        <f t="shared" si="29"/>
        <v>low</v>
      </c>
      <c r="O918" s="2"/>
    </row>
    <row r="919" spans="1:15">
      <c r="A919" t="s">
        <v>977</v>
      </c>
      <c r="B919" s="1">
        <v>45615</v>
      </c>
      <c r="C919" t="s">
        <v>35</v>
      </c>
      <c r="D919" t="s">
        <v>63</v>
      </c>
      <c r="E919" t="s">
        <v>32</v>
      </c>
      <c r="F919">
        <v>4</v>
      </c>
      <c r="G919">
        <v>7238.53</v>
      </c>
      <c r="H919" s="5">
        <v>0.2</v>
      </c>
      <c r="I919" t="s">
        <v>22</v>
      </c>
      <c r="J919" t="s">
        <v>49</v>
      </c>
      <c r="K919" t="s">
        <v>18</v>
      </c>
      <c r="L919">
        <v>23163.3</v>
      </c>
      <c r="M919" s="2" t="str">
        <f t="shared" si="28"/>
        <v>Nov</v>
      </c>
      <c r="N919" s="2" t="str">
        <f t="shared" si="29"/>
        <v>high</v>
      </c>
      <c r="O919" s="2"/>
    </row>
    <row r="920" spans="1:15">
      <c r="A920" t="s">
        <v>978</v>
      </c>
      <c r="B920" s="1">
        <v>45470</v>
      </c>
      <c r="C920" t="s">
        <v>38</v>
      </c>
      <c r="D920" t="s">
        <v>164</v>
      </c>
      <c r="E920" t="s">
        <v>32</v>
      </c>
      <c r="F920">
        <v>3</v>
      </c>
      <c r="G920">
        <v>3867.11</v>
      </c>
      <c r="H920" s="5">
        <v>0.15</v>
      </c>
      <c r="I920" t="s">
        <v>16</v>
      </c>
      <c r="J920" t="s">
        <v>23</v>
      </c>
      <c r="K920" t="s">
        <v>33</v>
      </c>
      <c r="L920">
        <v>9861.1299999999992</v>
      </c>
      <c r="M920" s="2" t="str">
        <f t="shared" si="28"/>
        <v>Jun</v>
      </c>
      <c r="N920" s="2" t="str">
        <f t="shared" si="29"/>
        <v>low</v>
      </c>
      <c r="O920" s="2"/>
    </row>
    <row r="921" spans="1:15">
      <c r="A921" t="s">
        <v>979</v>
      </c>
      <c r="B921" s="1">
        <v>45503</v>
      </c>
      <c r="C921" t="s">
        <v>20</v>
      </c>
      <c r="D921" t="s">
        <v>59</v>
      </c>
      <c r="E921" t="s">
        <v>27</v>
      </c>
      <c r="F921">
        <v>4</v>
      </c>
      <c r="G921">
        <v>4480.08</v>
      </c>
      <c r="H921" s="5">
        <v>0.25</v>
      </c>
      <c r="I921" t="s">
        <v>16</v>
      </c>
      <c r="J921" t="s">
        <v>17</v>
      </c>
      <c r="K921" t="s">
        <v>33</v>
      </c>
      <c r="L921">
        <v>13440.24</v>
      </c>
      <c r="M921" s="2" t="str">
        <f t="shared" si="28"/>
        <v>Jul</v>
      </c>
      <c r="N921" s="2" t="str">
        <f t="shared" si="29"/>
        <v>medium</v>
      </c>
      <c r="O921" s="2"/>
    </row>
    <row r="922" spans="1:15">
      <c r="A922" t="s">
        <v>980</v>
      </c>
      <c r="B922" s="1">
        <v>45322</v>
      </c>
      <c r="C922" t="s">
        <v>38</v>
      </c>
      <c r="D922" t="s">
        <v>51</v>
      </c>
      <c r="E922" t="s">
        <v>32</v>
      </c>
      <c r="F922">
        <v>6</v>
      </c>
      <c r="G922">
        <v>4673.2</v>
      </c>
      <c r="H922" s="5">
        <v>0.15</v>
      </c>
      <c r="I922" t="s">
        <v>16</v>
      </c>
      <c r="J922" t="s">
        <v>23</v>
      </c>
      <c r="K922" t="s">
        <v>33</v>
      </c>
      <c r="L922">
        <v>23833.32</v>
      </c>
      <c r="M922" s="2" t="str">
        <f t="shared" si="28"/>
        <v>Jan</v>
      </c>
      <c r="N922" s="2" t="str">
        <f t="shared" si="29"/>
        <v>high</v>
      </c>
      <c r="O922" s="2"/>
    </row>
    <row r="923" spans="1:15">
      <c r="A923" t="s">
        <v>981</v>
      </c>
      <c r="B923" s="1">
        <v>45541</v>
      </c>
      <c r="C923" t="s">
        <v>25</v>
      </c>
      <c r="D923" t="s">
        <v>31</v>
      </c>
      <c r="E923" t="s">
        <v>53</v>
      </c>
      <c r="F923">
        <v>3</v>
      </c>
      <c r="G923">
        <v>6801.5</v>
      </c>
      <c r="H923" s="5">
        <v>0.15</v>
      </c>
      <c r="I923" t="s">
        <v>16</v>
      </c>
      <c r="J923" t="s">
        <v>40</v>
      </c>
      <c r="K923" t="s">
        <v>18</v>
      </c>
      <c r="L923">
        <v>17343.830000000002</v>
      </c>
      <c r="M923" s="2" t="str">
        <f t="shared" si="28"/>
        <v>Sep</v>
      </c>
      <c r="N923" s="2" t="str">
        <f t="shared" si="29"/>
        <v>medium</v>
      </c>
      <c r="O923" s="2"/>
    </row>
    <row r="924" spans="1:15">
      <c r="A924" t="s">
        <v>982</v>
      </c>
      <c r="B924" s="1">
        <v>45522</v>
      </c>
      <c r="C924" t="s">
        <v>25</v>
      </c>
      <c r="D924" t="s">
        <v>87</v>
      </c>
      <c r="E924" t="s">
        <v>53</v>
      </c>
      <c r="F924">
        <v>1</v>
      </c>
      <c r="G924">
        <v>6595.63</v>
      </c>
      <c r="H924" s="5">
        <v>0.15</v>
      </c>
      <c r="I924" t="s">
        <v>22</v>
      </c>
      <c r="J924" t="s">
        <v>40</v>
      </c>
      <c r="K924" t="s">
        <v>18</v>
      </c>
      <c r="L924">
        <v>5606.29</v>
      </c>
      <c r="M924" s="2" t="str">
        <f t="shared" si="28"/>
        <v>Aug</v>
      </c>
      <c r="N924" s="2" t="str">
        <f t="shared" si="29"/>
        <v>low</v>
      </c>
      <c r="O924" s="2"/>
    </row>
    <row r="925" spans="1:15">
      <c r="A925" t="s">
        <v>983</v>
      </c>
      <c r="B925" s="1">
        <v>45396</v>
      </c>
      <c r="C925" t="s">
        <v>20</v>
      </c>
      <c r="D925" t="s">
        <v>57</v>
      </c>
      <c r="E925" t="s">
        <v>27</v>
      </c>
      <c r="F925">
        <v>2</v>
      </c>
      <c r="G925">
        <v>3249.9</v>
      </c>
      <c r="H925" s="5">
        <v>0.15</v>
      </c>
      <c r="I925" t="s">
        <v>16</v>
      </c>
      <c r="J925" t="s">
        <v>49</v>
      </c>
      <c r="K925" t="s">
        <v>33</v>
      </c>
      <c r="L925">
        <v>5524.83</v>
      </c>
      <c r="M925" s="2" t="str">
        <f t="shared" si="28"/>
        <v>Apr</v>
      </c>
      <c r="N925" s="2" t="str">
        <f t="shared" si="29"/>
        <v>low</v>
      </c>
      <c r="O925" s="2"/>
    </row>
    <row r="926" spans="1:15">
      <c r="A926" t="s">
        <v>984</v>
      </c>
      <c r="B926" s="1">
        <v>45616</v>
      </c>
      <c r="C926" t="s">
        <v>20</v>
      </c>
      <c r="D926" t="s">
        <v>57</v>
      </c>
      <c r="E926" t="s">
        <v>47</v>
      </c>
      <c r="F926">
        <v>2</v>
      </c>
      <c r="G926">
        <v>2030.51</v>
      </c>
      <c r="H926" s="5">
        <v>0.2</v>
      </c>
      <c r="I926" t="s">
        <v>16</v>
      </c>
      <c r="J926" t="s">
        <v>17</v>
      </c>
      <c r="K926" t="s">
        <v>33</v>
      </c>
      <c r="L926">
        <v>3248.82</v>
      </c>
      <c r="M926" s="2" t="str">
        <f t="shared" si="28"/>
        <v>Nov</v>
      </c>
      <c r="N926" s="2" t="str">
        <f t="shared" si="29"/>
        <v>low</v>
      </c>
      <c r="O926" s="2"/>
    </row>
    <row r="927" spans="1:15">
      <c r="A927" t="s">
        <v>985</v>
      </c>
      <c r="B927" s="1">
        <v>45456</v>
      </c>
      <c r="C927" t="s">
        <v>20</v>
      </c>
      <c r="D927" t="s">
        <v>59</v>
      </c>
      <c r="E927" t="s">
        <v>32</v>
      </c>
      <c r="F927">
        <v>1</v>
      </c>
      <c r="G927">
        <v>3877.66</v>
      </c>
      <c r="H927" s="5">
        <v>0.1</v>
      </c>
      <c r="I927" t="s">
        <v>22</v>
      </c>
      <c r="J927" t="s">
        <v>29</v>
      </c>
      <c r="K927" t="s">
        <v>33</v>
      </c>
      <c r="L927">
        <v>3489.89</v>
      </c>
      <c r="M927" s="2" t="str">
        <f t="shared" si="28"/>
        <v>Jun</v>
      </c>
      <c r="N927" s="2" t="str">
        <f t="shared" si="29"/>
        <v>low</v>
      </c>
      <c r="O927" s="2"/>
    </row>
    <row r="928" spans="1:15">
      <c r="A928" t="s">
        <v>986</v>
      </c>
      <c r="B928" s="1">
        <v>45560</v>
      </c>
      <c r="C928" t="s">
        <v>25</v>
      </c>
      <c r="D928" t="s">
        <v>87</v>
      </c>
      <c r="E928" t="s">
        <v>80</v>
      </c>
      <c r="F928">
        <v>1</v>
      </c>
      <c r="G928">
        <v>2871.92</v>
      </c>
      <c r="H928" s="5">
        <v>0.05</v>
      </c>
      <c r="I928" t="s">
        <v>16</v>
      </c>
      <c r="J928" t="s">
        <v>23</v>
      </c>
      <c r="K928" t="s">
        <v>33</v>
      </c>
      <c r="L928">
        <v>2728.32</v>
      </c>
      <c r="M928" s="2" t="str">
        <f t="shared" si="28"/>
        <v>Sep</v>
      </c>
      <c r="N928" s="2" t="str">
        <f t="shared" si="29"/>
        <v>low</v>
      </c>
      <c r="O928" s="2"/>
    </row>
    <row r="929" spans="1:15">
      <c r="A929" t="s">
        <v>987</v>
      </c>
      <c r="B929" s="1">
        <v>45646</v>
      </c>
      <c r="C929" t="s">
        <v>35</v>
      </c>
      <c r="D929" t="s">
        <v>36</v>
      </c>
      <c r="E929" t="s">
        <v>44</v>
      </c>
      <c r="F929">
        <v>4</v>
      </c>
      <c r="G929">
        <v>5474.28</v>
      </c>
      <c r="H929" s="5">
        <v>0.1</v>
      </c>
      <c r="I929" t="s">
        <v>55</v>
      </c>
      <c r="J929" t="s">
        <v>29</v>
      </c>
      <c r="K929" t="s">
        <v>33</v>
      </c>
      <c r="L929">
        <v>19707.41</v>
      </c>
      <c r="M929" s="2" t="str">
        <f t="shared" si="28"/>
        <v>Dec</v>
      </c>
      <c r="N929" s="2" t="str">
        <f t="shared" si="29"/>
        <v>medium</v>
      </c>
      <c r="O929" s="2"/>
    </row>
    <row r="930" spans="1:15">
      <c r="A930" t="s">
        <v>988</v>
      </c>
      <c r="B930" s="1">
        <v>45598</v>
      </c>
      <c r="C930" t="s">
        <v>35</v>
      </c>
      <c r="D930" t="s">
        <v>63</v>
      </c>
      <c r="E930" t="s">
        <v>47</v>
      </c>
      <c r="F930">
        <v>3</v>
      </c>
      <c r="G930">
        <v>3855.7</v>
      </c>
      <c r="H930" s="5">
        <v>0</v>
      </c>
      <c r="I930" t="s">
        <v>55</v>
      </c>
      <c r="J930" t="s">
        <v>49</v>
      </c>
      <c r="K930" t="s">
        <v>33</v>
      </c>
      <c r="L930">
        <v>11567.1</v>
      </c>
      <c r="M930" s="2" t="str">
        <f t="shared" si="28"/>
        <v>Nov</v>
      </c>
      <c r="N930" s="2" t="str">
        <f t="shared" si="29"/>
        <v>medium</v>
      </c>
      <c r="O930" s="2"/>
    </row>
    <row r="931" spans="1:15">
      <c r="A931" t="s">
        <v>989</v>
      </c>
      <c r="B931" s="1">
        <v>45507</v>
      </c>
      <c r="C931" t="s">
        <v>13</v>
      </c>
      <c r="D931" t="s">
        <v>74</v>
      </c>
      <c r="E931" t="s">
        <v>53</v>
      </c>
      <c r="F931">
        <v>6</v>
      </c>
      <c r="G931">
        <v>5700.01</v>
      </c>
      <c r="H931" s="5">
        <v>0.1</v>
      </c>
      <c r="I931" t="s">
        <v>22</v>
      </c>
      <c r="J931" t="s">
        <v>23</v>
      </c>
      <c r="K931" t="s">
        <v>33</v>
      </c>
      <c r="L931">
        <v>30780.05</v>
      </c>
      <c r="M931" s="2" t="str">
        <f t="shared" si="28"/>
        <v>Aug</v>
      </c>
      <c r="N931" s="2" t="str">
        <f t="shared" si="29"/>
        <v>high</v>
      </c>
      <c r="O931" s="2"/>
    </row>
    <row r="932" spans="1:15">
      <c r="A932" t="s">
        <v>990</v>
      </c>
      <c r="B932" s="1">
        <v>45598</v>
      </c>
      <c r="C932" t="s">
        <v>38</v>
      </c>
      <c r="D932" t="s">
        <v>100</v>
      </c>
      <c r="E932" t="s">
        <v>47</v>
      </c>
      <c r="F932">
        <v>3</v>
      </c>
      <c r="G932">
        <v>2074.88</v>
      </c>
      <c r="H932" s="5">
        <v>0.15</v>
      </c>
      <c r="I932" t="s">
        <v>55</v>
      </c>
      <c r="J932" t="s">
        <v>23</v>
      </c>
      <c r="K932" t="s">
        <v>33</v>
      </c>
      <c r="L932">
        <v>5290.94</v>
      </c>
      <c r="M932" s="2" t="str">
        <f t="shared" si="28"/>
        <v>Nov</v>
      </c>
      <c r="N932" s="2" t="str">
        <f t="shared" si="29"/>
        <v>low</v>
      </c>
      <c r="O932" s="2"/>
    </row>
    <row r="933" spans="1:15">
      <c r="A933" t="s">
        <v>991</v>
      </c>
      <c r="B933" s="1">
        <v>45551</v>
      </c>
      <c r="C933" t="s">
        <v>25</v>
      </c>
      <c r="D933" t="s">
        <v>87</v>
      </c>
      <c r="E933" t="s">
        <v>1160</v>
      </c>
      <c r="F933">
        <v>2</v>
      </c>
      <c r="G933">
        <v>7349.49</v>
      </c>
      <c r="H933" s="5">
        <v>0.15</v>
      </c>
      <c r="I933" t="s">
        <v>16</v>
      </c>
      <c r="J933" t="s">
        <v>17</v>
      </c>
      <c r="K933" t="s">
        <v>33</v>
      </c>
      <c r="L933">
        <v>12494.13</v>
      </c>
      <c r="M933" s="2" t="str">
        <f t="shared" si="28"/>
        <v>Sep</v>
      </c>
      <c r="N933" s="2" t="str">
        <f t="shared" si="29"/>
        <v>medium</v>
      </c>
      <c r="O933" s="2"/>
    </row>
    <row r="934" spans="1:15">
      <c r="A934" t="s">
        <v>992</v>
      </c>
      <c r="B934" s="1">
        <v>45490</v>
      </c>
      <c r="C934" t="s">
        <v>13</v>
      </c>
      <c r="D934" t="s">
        <v>108</v>
      </c>
      <c r="E934" t="s">
        <v>1160</v>
      </c>
      <c r="F934">
        <v>4</v>
      </c>
      <c r="G934">
        <v>3106.29</v>
      </c>
      <c r="H934" s="5">
        <v>0.1</v>
      </c>
      <c r="I934" t="s">
        <v>16</v>
      </c>
      <c r="J934" t="s">
        <v>49</v>
      </c>
      <c r="K934" t="s">
        <v>33</v>
      </c>
      <c r="L934">
        <v>11182.64</v>
      </c>
      <c r="M934" s="2" t="str">
        <f t="shared" si="28"/>
        <v>Jul</v>
      </c>
      <c r="N934" s="2" t="str">
        <f t="shared" si="29"/>
        <v>medium</v>
      </c>
      <c r="O934" s="2"/>
    </row>
    <row r="935" spans="1:15">
      <c r="A935" t="s">
        <v>993</v>
      </c>
      <c r="B935" s="1">
        <v>45485</v>
      </c>
      <c r="C935" t="s">
        <v>13</v>
      </c>
      <c r="D935" t="s">
        <v>14</v>
      </c>
      <c r="E935" t="s">
        <v>53</v>
      </c>
      <c r="F935">
        <v>5</v>
      </c>
      <c r="G935">
        <v>3315.43</v>
      </c>
      <c r="H935" s="5">
        <v>0</v>
      </c>
      <c r="I935" t="s">
        <v>55</v>
      </c>
      <c r="J935" t="s">
        <v>17</v>
      </c>
      <c r="K935" t="s">
        <v>33</v>
      </c>
      <c r="L935">
        <v>16577.150000000001</v>
      </c>
      <c r="M935" s="2" t="str">
        <f t="shared" si="28"/>
        <v>Jul</v>
      </c>
      <c r="N935" s="2" t="str">
        <f t="shared" si="29"/>
        <v>medium</v>
      </c>
      <c r="O935" s="2"/>
    </row>
    <row r="936" spans="1:15">
      <c r="A936" t="s">
        <v>994</v>
      </c>
      <c r="B936" s="1">
        <v>45443</v>
      </c>
      <c r="C936" t="s">
        <v>25</v>
      </c>
      <c r="D936" t="s">
        <v>94</v>
      </c>
      <c r="E936" t="s">
        <v>1160</v>
      </c>
      <c r="F936">
        <v>3</v>
      </c>
      <c r="G936">
        <v>7909.06</v>
      </c>
      <c r="H936" s="5">
        <v>0</v>
      </c>
      <c r="I936" t="s">
        <v>55</v>
      </c>
      <c r="J936" t="s">
        <v>23</v>
      </c>
      <c r="K936" t="s">
        <v>18</v>
      </c>
      <c r="L936">
        <v>23727.18</v>
      </c>
      <c r="M936" s="2" t="str">
        <f t="shared" si="28"/>
        <v>May</v>
      </c>
      <c r="N936" s="2" t="str">
        <f t="shared" si="29"/>
        <v>high</v>
      </c>
      <c r="O936" s="2"/>
    </row>
    <row r="937" spans="1:15">
      <c r="A937" t="s">
        <v>995</v>
      </c>
      <c r="B937" s="1">
        <v>45484</v>
      </c>
      <c r="C937" t="s">
        <v>38</v>
      </c>
      <c r="D937" t="s">
        <v>39</v>
      </c>
      <c r="E937" t="s">
        <v>47</v>
      </c>
      <c r="F937">
        <v>2</v>
      </c>
      <c r="G937">
        <v>7512.82</v>
      </c>
      <c r="H937" s="5">
        <v>0</v>
      </c>
      <c r="I937" t="s">
        <v>28</v>
      </c>
      <c r="J937" t="s">
        <v>49</v>
      </c>
      <c r="K937" t="s">
        <v>33</v>
      </c>
      <c r="L937">
        <v>15025.64</v>
      </c>
      <c r="M937" s="2" t="str">
        <f t="shared" si="28"/>
        <v>Jul</v>
      </c>
      <c r="N937" s="2" t="str">
        <f t="shared" si="29"/>
        <v>medium</v>
      </c>
      <c r="O937" s="2"/>
    </row>
    <row r="938" spans="1:15">
      <c r="A938" t="s">
        <v>996</v>
      </c>
      <c r="B938" s="1">
        <v>45463</v>
      </c>
      <c r="C938" t="s">
        <v>13</v>
      </c>
      <c r="D938" t="s">
        <v>108</v>
      </c>
      <c r="E938" t="s">
        <v>53</v>
      </c>
      <c r="F938">
        <v>1</v>
      </c>
      <c r="G938">
        <v>2167.38</v>
      </c>
      <c r="H938" s="5">
        <v>0.1</v>
      </c>
      <c r="I938" t="s">
        <v>22</v>
      </c>
      <c r="J938" t="s">
        <v>17</v>
      </c>
      <c r="K938" t="s">
        <v>33</v>
      </c>
      <c r="L938">
        <f>(F938*G938)-(F938*G938)*H938</f>
        <v>1950.6420000000001</v>
      </c>
      <c r="M938" s="2" t="str">
        <f t="shared" si="28"/>
        <v>Jun</v>
      </c>
      <c r="N938" s="2" t="str">
        <f t="shared" si="29"/>
        <v>low</v>
      </c>
      <c r="O938" s="2"/>
    </row>
    <row r="939" spans="1:15">
      <c r="A939" t="s">
        <v>997</v>
      </c>
      <c r="B939" s="1">
        <v>45494</v>
      </c>
      <c r="C939" t="s">
        <v>13</v>
      </c>
      <c r="D939" t="s">
        <v>74</v>
      </c>
      <c r="E939" t="s">
        <v>44</v>
      </c>
      <c r="F939">
        <v>5</v>
      </c>
      <c r="G939">
        <v>5531.87</v>
      </c>
      <c r="H939" s="5">
        <v>0.05</v>
      </c>
      <c r="I939" t="s">
        <v>28</v>
      </c>
      <c r="J939" t="s">
        <v>40</v>
      </c>
      <c r="K939" t="s">
        <v>33</v>
      </c>
      <c r="L939">
        <v>26276.38</v>
      </c>
      <c r="M939" s="2" t="str">
        <f t="shared" si="28"/>
        <v>Jul</v>
      </c>
      <c r="N939" s="2" t="str">
        <f t="shared" si="29"/>
        <v>high</v>
      </c>
      <c r="O939" s="2"/>
    </row>
    <row r="940" spans="1:15">
      <c r="A940" t="s">
        <v>998</v>
      </c>
      <c r="B940" s="1">
        <v>45304</v>
      </c>
      <c r="C940" t="s">
        <v>20</v>
      </c>
      <c r="D940" t="s">
        <v>59</v>
      </c>
      <c r="E940" t="s">
        <v>27</v>
      </c>
      <c r="F940">
        <v>3</v>
      </c>
      <c r="G940">
        <v>5989.39</v>
      </c>
      <c r="H940" s="5">
        <v>0.05</v>
      </c>
      <c r="I940" t="s">
        <v>16</v>
      </c>
      <c r="J940" t="s">
        <v>40</v>
      </c>
      <c r="K940" t="s">
        <v>33</v>
      </c>
      <c r="L940">
        <v>17069.759999999998</v>
      </c>
      <c r="M940" s="2" t="str">
        <f t="shared" si="28"/>
        <v>Jan</v>
      </c>
      <c r="N940" s="2" t="str">
        <f t="shared" si="29"/>
        <v>medium</v>
      </c>
      <c r="O940" s="2"/>
    </row>
    <row r="941" spans="1:15">
      <c r="A941" t="s">
        <v>999</v>
      </c>
      <c r="B941" s="1">
        <v>45415</v>
      </c>
      <c r="C941" t="s">
        <v>35</v>
      </c>
      <c r="D941" t="s">
        <v>97</v>
      </c>
      <c r="E941" t="s">
        <v>80</v>
      </c>
      <c r="F941">
        <v>4</v>
      </c>
      <c r="G941">
        <v>7185.82</v>
      </c>
      <c r="H941" s="5">
        <v>0.25</v>
      </c>
      <c r="I941" t="s">
        <v>28</v>
      </c>
      <c r="J941" t="s">
        <v>49</v>
      </c>
      <c r="K941" t="s">
        <v>18</v>
      </c>
      <c r="L941">
        <v>21557.46</v>
      </c>
      <c r="M941" s="2" t="str">
        <f t="shared" si="28"/>
        <v>May</v>
      </c>
      <c r="N941" s="2" t="str">
        <f t="shared" si="29"/>
        <v>high</v>
      </c>
      <c r="O941" s="2"/>
    </row>
    <row r="942" spans="1:15">
      <c r="A942" t="s">
        <v>1000</v>
      </c>
      <c r="B942" s="1">
        <v>45381</v>
      </c>
      <c r="C942" t="s">
        <v>38</v>
      </c>
      <c r="D942" t="s">
        <v>164</v>
      </c>
      <c r="E942" t="s">
        <v>47</v>
      </c>
      <c r="F942">
        <v>1</v>
      </c>
      <c r="G942">
        <v>6544.3</v>
      </c>
      <c r="H942" s="5">
        <v>0</v>
      </c>
      <c r="I942" t="s">
        <v>28</v>
      </c>
      <c r="J942" t="s">
        <v>23</v>
      </c>
      <c r="K942" t="s">
        <v>33</v>
      </c>
      <c r="L942">
        <v>6544.3</v>
      </c>
      <c r="M942" s="2" t="str">
        <f t="shared" si="28"/>
        <v>Mar</v>
      </c>
      <c r="N942" s="2" t="str">
        <f t="shared" si="29"/>
        <v>low</v>
      </c>
      <c r="O942" s="2"/>
    </row>
    <row r="943" spans="1:15">
      <c r="A943" t="s">
        <v>1001</v>
      </c>
      <c r="B943" s="1">
        <v>45536</v>
      </c>
      <c r="C943" t="s">
        <v>20</v>
      </c>
      <c r="D943" t="s">
        <v>21</v>
      </c>
      <c r="E943" t="s">
        <v>47</v>
      </c>
      <c r="F943">
        <v>1</v>
      </c>
      <c r="G943">
        <v>4478.47</v>
      </c>
      <c r="H943" s="5">
        <v>0.25</v>
      </c>
      <c r="I943" t="s">
        <v>16</v>
      </c>
      <c r="J943" t="s">
        <v>17</v>
      </c>
      <c r="K943" t="s">
        <v>33</v>
      </c>
      <c r="L943">
        <v>3358.85</v>
      </c>
      <c r="M943" s="2" t="str">
        <f t="shared" si="28"/>
        <v>Sep</v>
      </c>
      <c r="N943" s="2" t="str">
        <f t="shared" si="29"/>
        <v>low</v>
      </c>
      <c r="O943" s="2"/>
    </row>
    <row r="944" spans="1:15">
      <c r="A944" t="s">
        <v>1002</v>
      </c>
      <c r="B944" s="1">
        <v>45473</v>
      </c>
      <c r="C944" t="s">
        <v>25</v>
      </c>
      <c r="D944" t="s">
        <v>31</v>
      </c>
      <c r="E944" t="s">
        <v>27</v>
      </c>
      <c r="F944">
        <v>1</v>
      </c>
      <c r="G944">
        <v>3755.68</v>
      </c>
      <c r="H944" s="5">
        <v>0.05</v>
      </c>
      <c r="I944" t="s">
        <v>16</v>
      </c>
      <c r="J944" t="s">
        <v>49</v>
      </c>
      <c r="K944" t="s">
        <v>33</v>
      </c>
      <c r="L944">
        <v>3567.9</v>
      </c>
      <c r="M944" s="2" t="str">
        <f t="shared" si="28"/>
        <v>Jun</v>
      </c>
      <c r="N944" s="2" t="str">
        <f t="shared" si="29"/>
        <v>low</v>
      </c>
      <c r="O944" s="2"/>
    </row>
    <row r="945" spans="1:15">
      <c r="A945" t="s">
        <v>1003</v>
      </c>
      <c r="B945" s="1">
        <v>45468</v>
      </c>
      <c r="C945" t="s">
        <v>13</v>
      </c>
      <c r="D945" t="s">
        <v>76</v>
      </c>
      <c r="E945" t="s">
        <v>53</v>
      </c>
      <c r="F945">
        <v>6</v>
      </c>
      <c r="G945">
        <v>1729.67</v>
      </c>
      <c r="H945" s="5">
        <v>0.15</v>
      </c>
      <c r="I945" t="s">
        <v>28</v>
      </c>
      <c r="J945" t="s">
        <v>49</v>
      </c>
      <c r="K945" t="s">
        <v>18</v>
      </c>
      <c r="L945">
        <v>8821.32</v>
      </c>
      <c r="M945" s="2" t="str">
        <f t="shared" si="28"/>
        <v>Jun</v>
      </c>
      <c r="N945" s="2" t="str">
        <f t="shared" si="29"/>
        <v>low</v>
      </c>
      <c r="O945" s="2"/>
    </row>
    <row r="946" spans="1:15">
      <c r="A946" t="s">
        <v>1004</v>
      </c>
      <c r="B946" s="1">
        <v>45395</v>
      </c>
      <c r="C946" t="s">
        <v>35</v>
      </c>
      <c r="D946" t="s">
        <v>36</v>
      </c>
      <c r="E946" t="s">
        <v>15</v>
      </c>
      <c r="F946">
        <v>2</v>
      </c>
      <c r="G946">
        <v>2591.9</v>
      </c>
      <c r="H946" s="5">
        <v>0</v>
      </c>
      <c r="I946" t="s">
        <v>28</v>
      </c>
      <c r="J946" t="s">
        <v>29</v>
      </c>
      <c r="K946" t="s">
        <v>33</v>
      </c>
      <c r="L946">
        <v>5183.8</v>
      </c>
      <c r="M946" s="2" t="str">
        <f t="shared" si="28"/>
        <v>Apr</v>
      </c>
      <c r="N946" s="2" t="str">
        <f t="shared" si="29"/>
        <v>low</v>
      </c>
      <c r="O946" s="2"/>
    </row>
    <row r="947" spans="1:15">
      <c r="A947" t="s">
        <v>1005</v>
      </c>
      <c r="B947" s="1">
        <v>45551</v>
      </c>
      <c r="C947" t="s">
        <v>20</v>
      </c>
      <c r="D947" t="s">
        <v>57</v>
      </c>
      <c r="E947" t="s">
        <v>47</v>
      </c>
      <c r="F947">
        <v>1</v>
      </c>
      <c r="G947">
        <v>1078.44</v>
      </c>
      <c r="H947" s="5">
        <v>0.05</v>
      </c>
      <c r="I947" t="s">
        <v>16</v>
      </c>
      <c r="J947" t="s">
        <v>17</v>
      </c>
      <c r="K947" t="s">
        <v>33</v>
      </c>
      <c r="L947">
        <v>1024.52</v>
      </c>
      <c r="M947" s="2" t="str">
        <f t="shared" si="28"/>
        <v>Sep</v>
      </c>
      <c r="N947" s="2" t="str">
        <f t="shared" si="29"/>
        <v>low</v>
      </c>
      <c r="O947" s="2"/>
    </row>
    <row r="948" spans="1:15">
      <c r="A948" t="s">
        <v>1006</v>
      </c>
      <c r="B948" s="1">
        <v>45488</v>
      </c>
      <c r="C948" t="s">
        <v>25</v>
      </c>
      <c r="D948" t="s">
        <v>46</v>
      </c>
      <c r="E948" t="s">
        <v>15</v>
      </c>
      <c r="F948">
        <v>3</v>
      </c>
      <c r="G948">
        <v>2092.41</v>
      </c>
      <c r="H948" s="5">
        <v>0.2</v>
      </c>
      <c r="I948" t="s">
        <v>16</v>
      </c>
      <c r="J948" t="s">
        <v>40</v>
      </c>
      <c r="K948" t="s">
        <v>33</v>
      </c>
      <c r="L948">
        <v>5021.78</v>
      </c>
      <c r="M948" s="2" t="str">
        <f t="shared" si="28"/>
        <v>Jul</v>
      </c>
      <c r="N948" s="2" t="str">
        <f t="shared" si="29"/>
        <v>low</v>
      </c>
      <c r="O948" s="2"/>
    </row>
    <row r="949" spans="1:15">
      <c r="A949" t="s">
        <v>1007</v>
      </c>
      <c r="B949" s="1">
        <v>45487</v>
      </c>
      <c r="C949" t="s">
        <v>20</v>
      </c>
      <c r="D949" t="s">
        <v>61</v>
      </c>
      <c r="E949" t="s">
        <v>15</v>
      </c>
      <c r="F949">
        <v>5</v>
      </c>
      <c r="G949">
        <v>1610.33</v>
      </c>
      <c r="H949" s="5">
        <v>0.2</v>
      </c>
      <c r="I949" t="s">
        <v>16</v>
      </c>
      <c r="J949" t="s">
        <v>17</v>
      </c>
      <c r="K949" t="s">
        <v>33</v>
      </c>
      <c r="L949">
        <v>6441.32</v>
      </c>
      <c r="M949" s="2" t="str">
        <f t="shared" si="28"/>
        <v>Jul</v>
      </c>
      <c r="N949" s="2" t="str">
        <f t="shared" si="29"/>
        <v>low</v>
      </c>
      <c r="O949" s="2"/>
    </row>
    <row r="950" spans="1:15">
      <c r="A950" t="s">
        <v>1008</v>
      </c>
      <c r="B950" s="1">
        <v>45602</v>
      </c>
      <c r="C950" t="s">
        <v>38</v>
      </c>
      <c r="D950" t="s">
        <v>100</v>
      </c>
      <c r="E950" t="s">
        <v>1160</v>
      </c>
      <c r="F950">
        <v>2</v>
      </c>
      <c r="G950">
        <v>4050.22</v>
      </c>
      <c r="H950" s="5">
        <v>0</v>
      </c>
      <c r="I950" t="s">
        <v>28</v>
      </c>
      <c r="J950" t="s">
        <v>17</v>
      </c>
      <c r="K950" t="s">
        <v>33</v>
      </c>
      <c r="L950">
        <v>8100.44</v>
      </c>
      <c r="M950" s="2" t="str">
        <f t="shared" si="28"/>
        <v>Nov</v>
      </c>
      <c r="N950" s="2" t="str">
        <f t="shared" si="29"/>
        <v>low</v>
      </c>
      <c r="O950" s="2"/>
    </row>
    <row r="951" spans="1:15">
      <c r="A951" t="s">
        <v>1009</v>
      </c>
      <c r="B951" s="1">
        <v>45457</v>
      </c>
      <c r="C951" t="s">
        <v>13</v>
      </c>
      <c r="D951" t="s">
        <v>76</v>
      </c>
      <c r="E951" t="s">
        <v>32</v>
      </c>
      <c r="F951">
        <v>1</v>
      </c>
      <c r="G951">
        <v>2879.62</v>
      </c>
      <c r="H951" s="5">
        <v>0</v>
      </c>
      <c r="I951" t="s">
        <v>16</v>
      </c>
      <c r="J951" t="s">
        <v>40</v>
      </c>
      <c r="K951" t="s">
        <v>33</v>
      </c>
      <c r="L951">
        <v>2879.62</v>
      </c>
      <c r="M951" s="2" t="str">
        <f t="shared" si="28"/>
        <v>Jun</v>
      </c>
      <c r="N951" s="2" t="str">
        <f t="shared" si="29"/>
        <v>low</v>
      </c>
      <c r="O951" s="2"/>
    </row>
    <row r="952" spans="1:15">
      <c r="A952" t="s">
        <v>1010</v>
      </c>
      <c r="B952" s="1">
        <v>45631</v>
      </c>
      <c r="C952" t="s">
        <v>13</v>
      </c>
      <c r="D952" t="s">
        <v>74</v>
      </c>
      <c r="E952" t="s">
        <v>1160</v>
      </c>
      <c r="F952">
        <v>2</v>
      </c>
      <c r="G952">
        <v>5010.3100000000004</v>
      </c>
      <c r="H952" s="5">
        <v>0.25</v>
      </c>
      <c r="I952" t="s">
        <v>16</v>
      </c>
      <c r="J952" t="s">
        <v>29</v>
      </c>
      <c r="K952" t="s">
        <v>33</v>
      </c>
      <c r="L952">
        <v>7515.47</v>
      </c>
      <c r="M952" s="2" t="str">
        <f t="shared" si="28"/>
        <v>Dec</v>
      </c>
      <c r="N952" s="2" t="str">
        <f t="shared" si="29"/>
        <v>low</v>
      </c>
      <c r="O952" s="2"/>
    </row>
    <row r="953" spans="1:15">
      <c r="A953" t="s">
        <v>1011</v>
      </c>
      <c r="B953" s="1">
        <v>45616</v>
      </c>
      <c r="C953" t="s">
        <v>38</v>
      </c>
      <c r="D953" t="s">
        <v>42</v>
      </c>
      <c r="E953" t="s">
        <v>32</v>
      </c>
      <c r="F953">
        <v>1</v>
      </c>
      <c r="G953">
        <v>870.16</v>
      </c>
      <c r="H953" s="5">
        <v>0.1</v>
      </c>
      <c r="I953" t="s">
        <v>55</v>
      </c>
      <c r="J953" t="s">
        <v>29</v>
      </c>
      <c r="K953" t="s">
        <v>33</v>
      </c>
      <c r="L953">
        <v>783.14</v>
      </c>
      <c r="M953" s="2" t="str">
        <f t="shared" si="28"/>
        <v>Nov</v>
      </c>
      <c r="N953" s="2" t="str">
        <f t="shared" si="29"/>
        <v>low</v>
      </c>
      <c r="O953" s="2"/>
    </row>
    <row r="954" spans="1:15">
      <c r="A954" t="s">
        <v>1012</v>
      </c>
      <c r="B954" s="1">
        <v>45418</v>
      </c>
      <c r="C954" t="s">
        <v>38</v>
      </c>
      <c r="D954" t="s">
        <v>39</v>
      </c>
      <c r="E954" t="s">
        <v>53</v>
      </c>
      <c r="F954">
        <v>5</v>
      </c>
      <c r="G954">
        <v>5726.81</v>
      </c>
      <c r="H954" s="5">
        <v>0.2</v>
      </c>
      <c r="I954" t="s">
        <v>28</v>
      </c>
      <c r="J954" t="s">
        <v>49</v>
      </c>
      <c r="K954" t="s">
        <v>33</v>
      </c>
      <c r="L954">
        <v>22907.24</v>
      </c>
      <c r="M954" s="2" t="str">
        <f t="shared" si="28"/>
        <v>May</v>
      </c>
      <c r="N954" s="2" t="str">
        <f t="shared" si="29"/>
        <v>high</v>
      </c>
      <c r="O954" s="2"/>
    </row>
    <row r="955" spans="1:15">
      <c r="A955" t="s">
        <v>1013</v>
      </c>
      <c r="B955" s="1">
        <v>45418</v>
      </c>
      <c r="C955" t="s">
        <v>20</v>
      </c>
      <c r="D955" t="s">
        <v>78</v>
      </c>
      <c r="E955" t="s">
        <v>32</v>
      </c>
      <c r="F955">
        <v>3</v>
      </c>
      <c r="G955">
        <v>7555.24</v>
      </c>
      <c r="H955" s="5">
        <v>0.25</v>
      </c>
      <c r="I955" t="s">
        <v>28</v>
      </c>
      <c r="J955" t="s">
        <v>29</v>
      </c>
      <c r="K955" t="s">
        <v>33</v>
      </c>
      <c r="L955">
        <v>16999.29</v>
      </c>
      <c r="M955" s="2" t="str">
        <f t="shared" si="28"/>
        <v>May</v>
      </c>
      <c r="N955" s="2" t="str">
        <f t="shared" si="29"/>
        <v>medium</v>
      </c>
      <c r="O955" s="2"/>
    </row>
    <row r="956" spans="1:15">
      <c r="A956" t="s">
        <v>1014</v>
      </c>
      <c r="B956" s="1">
        <v>45372</v>
      </c>
      <c r="C956" t="s">
        <v>13</v>
      </c>
      <c r="D956" t="s">
        <v>108</v>
      </c>
      <c r="E956" t="s">
        <v>44</v>
      </c>
      <c r="F956">
        <v>6</v>
      </c>
      <c r="G956">
        <v>5233.96</v>
      </c>
      <c r="H956" s="5">
        <v>0.2</v>
      </c>
      <c r="I956" t="s">
        <v>28</v>
      </c>
      <c r="J956" t="s">
        <v>40</v>
      </c>
      <c r="K956" t="s">
        <v>33</v>
      </c>
      <c r="L956">
        <v>25123.01</v>
      </c>
      <c r="M956" s="2" t="str">
        <f t="shared" si="28"/>
        <v>Mar</v>
      </c>
      <c r="N956" s="2" t="str">
        <f t="shared" si="29"/>
        <v>high</v>
      </c>
      <c r="O956" s="2"/>
    </row>
    <row r="957" spans="1:15">
      <c r="A957" t="s">
        <v>1015</v>
      </c>
      <c r="B957" s="1">
        <v>45302</v>
      </c>
      <c r="C957" t="s">
        <v>38</v>
      </c>
      <c r="D957" t="s">
        <v>100</v>
      </c>
      <c r="E957" t="s">
        <v>53</v>
      </c>
      <c r="F957">
        <v>1</v>
      </c>
      <c r="G957">
        <v>3488.69</v>
      </c>
      <c r="H957" s="5">
        <v>0.05</v>
      </c>
      <c r="I957" t="s">
        <v>28</v>
      </c>
      <c r="J957" t="s">
        <v>40</v>
      </c>
      <c r="K957" t="s">
        <v>33</v>
      </c>
      <c r="L957">
        <v>3314.26</v>
      </c>
      <c r="M957" s="2" t="str">
        <f t="shared" si="28"/>
        <v>Jan</v>
      </c>
      <c r="N957" s="2" t="str">
        <f t="shared" si="29"/>
        <v>low</v>
      </c>
      <c r="O957" s="2"/>
    </row>
    <row r="958" spans="1:15">
      <c r="A958" t="s">
        <v>1016</v>
      </c>
      <c r="B958" s="1">
        <v>45458</v>
      </c>
      <c r="C958" t="s">
        <v>25</v>
      </c>
      <c r="D958" t="s">
        <v>26</v>
      </c>
      <c r="E958" t="s">
        <v>15</v>
      </c>
      <c r="F958">
        <v>3</v>
      </c>
      <c r="G958">
        <v>422.29</v>
      </c>
      <c r="H958" s="5">
        <v>0.1</v>
      </c>
      <c r="I958" t="s">
        <v>16</v>
      </c>
      <c r="J958" t="s">
        <v>23</v>
      </c>
      <c r="K958" t="s">
        <v>33</v>
      </c>
      <c r="L958">
        <v>1140.18</v>
      </c>
      <c r="M958" s="2" t="str">
        <f t="shared" si="28"/>
        <v>Jun</v>
      </c>
      <c r="N958" s="2" t="str">
        <f t="shared" si="29"/>
        <v>low</v>
      </c>
      <c r="O958" s="2"/>
    </row>
    <row r="959" spans="1:15">
      <c r="A959" t="s">
        <v>1017</v>
      </c>
      <c r="B959" s="1">
        <v>45356</v>
      </c>
      <c r="C959" t="s">
        <v>13</v>
      </c>
      <c r="D959" t="s">
        <v>14</v>
      </c>
      <c r="E959" t="s">
        <v>80</v>
      </c>
      <c r="F959">
        <v>3</v>
      </c>
      <c r="G959">
        <v>3004.09</v>
      </c>
      <c r="H959" s="5">
        <v>0.2</v>
      </c>
      <c r="I959" t="s">
        <v>55</v>
      </c>
      <c r="J959" t="s">
        <v>23</v>
      </c>
      <c r="K959" t="s">
        <v>33</v>
      </c>
      <c r="L959">
        <v>7209.82</v>
      </c>
      <c r="M959" s="2" t="str">
        <f t="shared" si="28"/>
        <v>Mar</v>
      </c>
      <c r="N959" s="2" t="str">
        <f t="shared" si="29"/>
        <v>low</v>
      </c>
      <c r="O959" s="2"/>
    </row>
    <row r="960" spans="1:15">
      <c r="A960" t="s">
        <v>1018</v>
      </c>
      <c r="B960" s="1">
        <v>45437</v>
      </c>
      <c r="C960" t="s">
        <v>35</v>
      </c>
      <c r="D960" t="s">
        <v>65</v>
      </c>
      <c r="E960" t="s">
        <v>80</v>
      </c>
      <c r="F960">
        <v>1</v>
      </c>
      <c r="G960">
        <v>3760.96</v>
      </c>
      <c r="H960" s="5">
        <v>0.1</v>
      </c>
      <c r="I960" t="s">
        <v>28</v>
      </c>
      <c r="J960" t="s">
        <v>23</v>
      </c>
      <c r="K960" t="s">
        <v>33</v>
      </c>
      <c r="L960">
        <v>3384.86</v>
      </c>
      <c r="M960" s="2" t="str">
        <f t="shared" si="28"/>
        <v>May</v>
      </c>
      <c r="N960" s="2" t="str">
        <f t="shared" si="29"/>
        <v>low</v>
      </c>
      <c r="O960" s="2"/>
    </row>
    <row r="961" spans="1:15">
      <c r="A961" t="s">
        <v>1019</v>
      </c>
      <c r="B961" s="1">
        <v>45572</v>
      </c>
      <c r="C961" t="s">
        <v>25</v>
      </c>
      <c r="D961" t="s">
        <v>26</v>
      </c>
      <c r="E961" t="s">
        <v>80</v>
      </c>
      <c r="F961">
        <v>4</v>
      </c>
      <c r="G961">
        <v>6142.96</v>
      </c>
      <c r="H961" s="5">
        <v>0.1</v>
      </c>
      <c r="I961" t="s">
        <v>16</v>
      </c>
      <c r="J961" t="s">
        <v>23</v>
      </c>
      <c r="K961" t="s">
        <v>33</v>
      </c>
      <c r="L961">
        <v>22114.66</v>
      </c>
      <c r="M961" s="2" t="str">
        <f t="shared" si="28"/>
        <v>Oct</v>
      </c>
      <c r="N961" s="2" t="str">
        <f t="shared" si="29"/>
        <v>high</v>
      </c>
      <c r="O961" s="2"/>
    </row>
    <row r="962" spans="1:15">
      <c r="A962" t="s">
        <v>1020</v>
      </c>
      <c r="B962" s="1">
        <v>45552</v>
      </c>
      <c r="C962" t="s">
        <v>20</v>
      </c>
      <c r="D962" t="s">
        <v>61</v>
      </c>
      <c r="E962" t="s">
        <v>15</v>
      </c>
      <c r="F962">
        <v>3</v>
      </c>
      <c r="G962">
        <v>7243.16</v>
      </c>
      <c r="H962" s="5">
        <v>0.05</v>
      </c>
      <c r="I962" t="s">
        <v>16</v>
      </c>
      <c r="J962" t="s">
        <v>17</v>
      </c>
      <c r="K962" t="s">
        <v>18</v>
      </c>
      <c r="L962">
        <v>20643.009999999998</v>
      </c>
      <c r="M962" s="2" t="str">
        <f t="shared" ref="M962:M1025" si="30">TEXT(B962,"mmm")</f>
        <v>Sep</v>
      </c>
      <c r="N962" s="2" t="str">
        <f t="shared" ref="N962:N1025" si="31">IF(L962&gt;20000,"high",IF(L962&gt;10000,"medium","low"))</f>
        <v>high</v>
      </c>
      <c r="O962" s="2"/>
    </row>
    <row r="963" spans="1:15">
      <c r="A963" t="s">
        <v>1021</v>
      </c>
      <c r="B963" s="1">
        <v>45456</v>
      </c>
      <c r="C963" t="s">
        <v>25</v>
      </c>
      <c r="D963" t="s">
        <v>26</v>
      </c>
      <c r="E963" t="s">
        <v>47</v>
      </c>
      <c r="F963">
        <v>6</v>
      </c>
      <c r="G963">
        <v>4285.9799999999996</v>
      </c>
      <c r="H963" s="5">
        <v>0.1</v>
      </c>
      <c r="I963" t="s">
        <v>55</v>
      </c>
      <c r="J963" t="s">
        <v>40</v>
      </c>
      <c r="K963" t="s">
        <v>18</v>
      </c>
      <c r="L963">
        <v>23144.29</v>
      </c>
      <c r="M963" s="2" t="str">
        <f t="shared" si="30"/>
        <v>Jun</v>
      </c>
      <c r="N963" s="2" t="str">
        <f t="shared" si="31"/>
        <v>high</v>
      </c>
      <c r="O963" s="2"/>
    </row>
    <row r="964" spans="1:15">
      <c r="A964" t="s">
        <v>1022</v>
      </c>
      <c r="B964" s="1">
        <v>45584</v>
      </c>
      <c r="C964" t="s">
        <v>20</v>
      </c>
      <c r="D964" t="s">
        <v>78</v>
      </c>
      <c r="E964" t="s">
        <v>80</v>
      </c>
      <c r="F964">
        <v>6</v>
      </c>
      <c r="G964">
        <v>4845.8100000000004</v>
      </c>
      <c r="H964" s="5">
        <v>0</v>
      </c>
      <c r="I964" t="s">
        <v>22</v>
      </c>
      <c r="J964" t="s">
        <v>23</v>
      </c>
      <c r="K964" t="s">
        <v>33</v>
      </c>
      <c r="L964">
        <v>29074.86</v>
      </c>
      <c r="M964" s="2" t="str">
        <f t="shared" si="30"/>
        <v>Oct</v>
      </c>
      <c r="N964" s="2" t="str">
        <f t="shared" si="31"/>
        <v>high</v>
      </c>
      <c r="O964" s="2"/>
    </row>
    <row r="965" spans="1:15">
      <c r="A965" t="s">
        <v>1023</v>
      </c>
      <c r="B965" s="1">
        <v>45562</v>
      </c>
      <c r="C965" t="s">
        <v>20</v>
      </c>
      <c r="D965" t="s">
        <v>78</v>
      </c>
      <c r="E965" t="s">
        <v>15</v>
      </c>
      <c r="F965">
        <v>4</v>
      </c>
      <c r="G965">
        <v>1943.27</v>
      </c>
      <c r="H965" s="5">
        <v>0.25</v>
      </c>
      <c r="I965" t="s">
        <v>55</v>
      </c>
      <c r="J965" t="s">
        <v>23</v>
      </c>
      <c r="K965" t="s">
        <v>33</v>
      </c>
      <c r="L965">
        <v>5829.81</v>
      </c>
      <c r="M965" s="2" t="str">
        <f t="shared" si="30"/>
        <v>Sep</v>
      </c>
      <c r="N965" s="2" t="str">
        <f t="shared" si="31"/>
        <v>low</v>
      </c>
      <c r="O965" s="2"/>
    </row>
    <row r="966" spans="1:15">
      <c r="A966" t="s">
        <v>1024</v>
      </c>
      <c r="B966" s="1">
        <v>45349</v>
      </c>
      <c r="C966" t="s">
        <v>38</v>
      </c>
      <c r="D966" t="s">
        <v>51</v>
      </c>
      <c r="E966" t="s">
        <v>27</v>
      </c>
      <c r="F966">
        <v>6</v>
      </c>
      <c r="G966">
        <v>719.52</v>
      </c>
      <c r="H966" s="5">
        <v>0.25</v>
      </c>
      <c r="I966" t="s">
        <v>16</v>
      </c>
      <c r="J966" t="s">
        <v>17</v>
      </c>
      <c r="K966" t="s">
        <v>33</v>
      </c>
      <c r="L966">
        <v>3237.84</v>
      </c>
      <c r="M966" s="2" t="str">
        <f t="shared" si="30"/>
        <v>Feb</v>
      </c>
      <c r="N966" s="2" t="str">
        <f t="shared" si="31"/>
        <v>low</v>
      </c>
      <c r="O966" s="2"/>
    </row>
    <row r="967" spans="1:15">
      <c r="A967" t="s">
        <v>1025</v>
      </c>
      <c r="B967" s="1">
        <v>45358</v>
      </c>
      <c r="C967" t="s">
        <v>35</v>
      </c>
      <c r="D967" t="s">
        <v>63</v>
      </c>
      <c r="E967" t="s">
        <v>80</v>
      </c>
      <c r="F967">
        <v>4</v>
      </c>
      <c r="G967">
        <v>7430.46</v>
      </c>
      <c r="H967" s="5">
        <v>0.1</v>
      </c>
      <c r="I967" t="s">
        <v>16</v>
      </c>
      <c r="J967" t="s">
        <v>49</v>
      </c>
      <c r="K967" t="s">
        <v>33</v>
      </c>
      <c r="L967">
        <v>26749.66</v>
      </c>
      <c r="M967" s="2" t="str">
        <f t="shared" si="30"/>
        <v>Mar</v>
      </c>
      <c r="N967" s="2" t="str">
        <f t="shared" si="31"/>
        <v>high</v>
      </c>
      <c r="O967" s="2"/>
    </row>
    <row r="968" spans="1:15">
      <c r="A968" t="s">
        <v>1026</v>
      </c>
      <c r="B968" s="1">
        <v>45346</v>
      </c>
      <c r="C968" t="s">
        <v>25</v>
      </c>
      <c r="D968" t="s">
        <v>26</v>
      </c>
      <c r="E968" t="s">
        <v>27</v>
      </c>
      <c r="F968">
        <v>5</v>
      </c>
      <c r="G968">
        <v>3489.65</v>
      </c>
      <c r="H968" s="5">
        <v>0.1</v>
      </c>
      <c r="I968" t="s">
        <v>55</v>
      </c>
      <c r="J968" t="s">
        <v>29</v>
      </c>
      <c r="K968" t="s">
        <v>33</v>
      </c>
      <c r="L968">
        <v>15703.43</v>
      </c>
      <c r="M968" s="2" t="str">
        <f t="shared" si="30"/>
        <v>Feb</v>
      </c>
      <c r="N968" s="2" t="str">
        <f t="shared" si="31"/>
        <v>medium</v>
      </c>
      <c r="O968" s="2"/>
    </row>
    <row r="969" spans="1:15">
      <c r="A969" t="s">
        <v>1027</v>
      </c>
      <c r="B969" s="1">
        <v>45321</v>
      </c>
      <c r="C969" t="s">
        <v>25</v>
      </c>
      <c r="D969" t="s">
        <v>94</v>
      </c>
      <c r="E969" t="s">
        <v>53</v>
      </c>
      <c r="F969">
        <v>3</v>
      </c>
      <c r="G969">
        <v>979.15</v>
      </c>
      <c r="H969" s="5">
        <v>0.25</v>
      </c>
      <c r="I969" t="s">
        <v>16</v>
      </c>
      <c r="J969" t="s">
        <v>29</v>
      </c>
      <c r="K969" t="s">
        <v>33</v>
      </c>
      <c r="L969">
        <v>2203.09</v>
      </c>
      <c r="M969" s="2" t="str">
        <f t="shared" si="30"/>
        <v>Jan</v>
      </c>
      <c r="N969" s="2" t="str">
        <f t="shared" si="31"/>
        <v>low</v>
      </c>
      <c r="O969" s="2"/>
    </row>
    <row r="970" spans="1:15">
      <c r="A970" t="s">
        <v>1028</v>
      </c>
      <c r="B970" s="1">
        <v>45312</v>
      </c>
      <c r="C970" t="s">
        <v>35</v>
      </c>
      <c r="D970" t="s">
        <v>36</v>
      </c>
      <c r="E970" t="s">
        <v>1160</v>
      </c>
      <c r="F970">
        <v>1</v>
      </c>
      <c r="G970">
        <v>3943.45</v>
      </c>
      <c r="H970" s="5">
        <v>0</v>
      </c>
      <c r="I970" t="s">
        <v>28</v>
      </c>
      <c r="J970" t="s">
        <v>17</v>
      </c>
      <c r="K970" t="s">
        <v>18</v>
      </c>
      <c r="L970">
        <v>3943.45</v>
      </c>
      <c r="M970" s="2" t="str">
        <f t="shared" si="30"/>
        <v>Jan</v>
      </c>
      <c r="N970" s="2" t="str">
        <f t="shared" si="31"/>
        <v>low</v>
      </c>
      <c r="O970" s="2"/>
    </row>
    <row r="971" spans="1:15">
      <c r="A971" t="s">
        <v>1029</v>
      </c>
      <c r="B971" s="1">
        <v>45481</v>
      </c>
      <c r="C971" t="s">
        <v>38</v>
      </c>
      <c r="D971" t="s">
        <v>51</v>
      </c>
      <c r="E971" t="s">
        <v>15</v>
      </c>
      <c r="F971">
        <v>4</v>
      </c>
      <c r="G971">
        <v>5864.03</v>
      </c>
      <c r="H971" s="5">
        <v>0.25</v>
      </c>
      <c r="I971" t="s">
        <v>16</v>
      </c>
      <c r="J971" t="s">
        <v>17</v>
      </c>
      <c r="K971" t="s">
        <v>33</v>
      </c>
      <c r="L971">
        <v>17592.09</v>
      </c>
      <c r="M971" s="2" t="str">
        <f t="shared" si="30"/>
        <v>Jul</v>
      </c>
      <c r="N971" s="2" t="str">
        <f t="shared" si="31"/>
        <v>medium</v>
      </c>
      <c r="O971" s="2"/>
    </row>
    <row r="972" spans="1:15">
      <c r="A972" t="s">
        <v>1030</v>
      </c>
      <c r="B972" s="1">
        <v>45634</v>
      </c>
      <c r="C972" t="s">
        <v>35</v>
      </c>
      <c r="D972" t="s">
        <v>97</v>
      </c>
      <c r="E972" t="s">
        <v>80</v>
      </c>
      <c r="F972">
        <v>1</v>
      </c>
      <c r="G972">
        <v>1337.67</v>
      </c>
      <c r="H972" s="5">
        <v>0.05</v>
      </c>
      <c r="I972" t="s">
        <v>16</v>
      </c>
      <c r="J972" t="s">
        <v>23</v>
      </c>
      <c r="K972" t="s">
        <v>33</v>
      </c>
      <c r="L972">
        <v>1270.79</v>
      </c>
      <c r="M972" s="2" t="str">
        <f t="shared" si="30"/>
        <v>Dec</v>
      </c>
      <c r="N972" s="2" t="str">
        <f t="shared" si="31"/>
        <v>low</v>
      </c>
      <c r="O972" s="2"/>
    </row>
    <row r="973" spans="1:15">
      <c r="A973" t="s">
        <v>1031</v>
      </c>
      <c r="B973" s="1">
        <v>45310</v>
      </c>
      <c r="C973" t="s">
        <v>13</v>
      </c>
      <c r="D973" t="s">
        <v>76</v>
      </c>
      <c r="E973" t="s">
        <v>32</v>
      </c>
      <c r="F973">
        <v>1</v>
      </c>
      <c r="G973">
        <v>1236.5</v>
      </c>
      <c r="H973" s="5">
        <v>0</v>
      </c>
      <c r="I973" t="s">
        <v>22</v>
      </c>
      <c r="J973" t="s">
        <v>23</v>
      </c>
      <c r="K973" t="s">
        <v>18</v>
      </c>
      <c r="L973">
        <v>1236.5</v>
      </c>
      <c r="M973" s="2" t="str">
        <f t="shared" si="30"/>
        <v>Jan</v>
      </c>
      <c r="N973" s="2" t="str">
        <f t="shared" si="31"/>
        <v>low</v>
      </c>
      <c r="O973" s="2"/>
    </row>
    <row r="974" spans="1:15">
      <c r="A974" t="s">
        <v>1032</v>
      </c>
      <c r="B974" s="1">
        <v>45314</v>
      </c>
      <c r="C974" t="s">
        <v>25</v>
      </c>
      <c r="D974" t="s">
        <v>87</v>
      </c>
      <c r="E974" t="s">
        <v>53</v>
      </c>
      <c r="F974">
        <v>6</v>
      </c>
      <c r="G974">
        <v>6452.16</v>
      </c>
      <c r="H974" s="5">
        <v>0.2</v>
      </c>
      <c r="I974" t="s">
        <v>16</v>
      </c>
      <c r="J974" t="s">
        <v>49</v>
      </c>
      <c r="K974" t="s">
        <v>33</v>
      </c>
      <c r="L974">
        <v>30970.37</v>
      </c>
      <c r="M974" s="2" t="str">
        <f t="shared" si="30"/>
        <v>Jan</v>
      </c>
      <c r="N974" s="2" t="str">
        <f t="shared" si="31"/>
        <v>high</v>
      </c>
      <c r="O974" s="2"/>
    </row>
    <row r="975" spans="1:15">
      <c r="A975" t="s">
        <v>1033</v>
      </c>
      <c r="B975" s="1">
        <v>45428</v>
      </c>
      <c r="C975" t="s">
        <v>13</v>
      </c>
      <c r="D975" t="s">
        <v>76</v>
      </c>
      <c r="E975" t="s">
        <v>1160</v>
      </c>
      <c r="F975">
        <v>2</v>
      </c>
      <c r="G975">
        <v>4287.4399999999996</v>
      </c>
      <c r="H975" s="5">
        <v>0</v>
      </c>
      <c r="I975" t="s">
        <v>16</v>
      </c>
      <c r="J975" t="s">
        <v>23</v>
      </c>
      <c r="K975" t="s">
        <v>33</v>
      </c>
      <c r="L975">
        <v>8574.8799999999992</v>
      </c>
      <c r="M975" s="2" t="str">
        <f t="shared" si="30"/>
        <v>May</v>
      </c>
      <c r="N975" s="2" t="str">
        <f t="shared" si="31"/>
        <v>low</v>
      </c>
      <c r="O975" s="2"/>
    </row>
    <row r="976" spans="1:15">
      <c r="A976" t="s">
        <v>1034</v>
      </c>
      <c r="B976" s="1">
        <v>45445</v>
      </c>
      <c r="C976" t="s">
        <v>38</v>
      </c>
      <c r="D976" t="s">
        <v>51</v>
      </c>
      <c r="E976" t="s">
        <v>1160</v>
      </c>
      <c r="F976">
        <v>5</v>
      </c>
      <c r="G976">
        <v>7951.93</v>
      </c>
      <c r="H976" s="5">
        <v>0.1</v>
      </c>
      <c r="I976" t="s">
        <v>16</v>
      </c>
      <c r="J976" t="s">
        <v>29</v>
      </c>
      <c r="K976" t="s">
        <v>18</v>
      </c>
      <c r="L976">
        <v>35783.69</v>
      </c>
      <c r="M976" s="2" t="str">
        <f t="shared" si="30"/>
        <v>Jun</v>
      </c>
      <c r="N976" s="2" t="str">
        <f t="shared" si="31"/>
        <v>high</v>
      </c>
      <c r="O976" s="2"/>
    </row>
    <row r="977" spans="1:15">
      <c r="A977" t="s">
        <v>1035</v>
      </c>
      <c r="B977" s="1">
        <v>45573</v>
      </c>
      <c r="C977" t="s">
        <v>38</v>
      </c>
      <c r="D977" t="s">
        <v>51</v>
      </c>
      <c r="E977" t="s">
        <v>15</v>
      </c>
      <c r="F977">
        <v>5</v>
      </c>
      <c r="G977">
        <v>6204.44</v>
      </c>
      <c r="H977" s="5">
        <v>0</v>
      </c>
      <c r="I977" t="s">
        <v>55</v>
      </c>
      <c r="J977" t="s">
        <v>49</v>
      </c>
      <c r="K977" t="s">
        <v>18</v>
      </c>
      <c r="L977">
        <v>31022.2</v>
      </c>
      <c r="M977" s="2" t="str">
        <f t="shared" si="30"/>
        <v>Oct</v>
      </c>
      <c r="N977" s="2" t="str">
        <f t="shared" si="31"/>
        <v>high</v>
      </c>
      <c r="O977" s="2"/>
    </row>
    <row r="978" spans="1:15">
      <c r="A978" t="s">
        <v>1036</v>
      </c>
      <c r="B978" s="1">
        <v>45444</v>
      </c>
      <c r="C978" t="s">
        <v>38</v>
      </c>
      <c r="D978" t="s">
        <v>100</v>
      </c>
      <c r="E978" t="s">
        <v>53</v>
      </c>
      <c r="F978">
        <v>3</v>
      </c>
      <c r="G978">
        <v>4840.75</v>
      </c>
      <c r="H978" s="5">
        <v>0.1</v>
      </c>
      <c r="I978" t="s">
        <v>28</v>
      </c>
      <c r="J978" t="s">
        <v>29</v>
      </c>
      <c r="K978" t="s">
        <v>33</v>
      </c>
      <c r="L978">
        <v>13070.02</v>
      </c>
      <c r="M978" s="2" t="str">
        <f t="shared" si="30"/>
        <v>Jun</v>
      </c>
      <c r="N978" s="2" t="str">
        <f t="shared" si="31"/>
        <v>medium</v>
      </c>
      <c r="O978" s="2"/>
    </row>
    <row r="979" spans="1:15">
      <c r="A979" t="s">
        <v>1037</v>
      </c>
      <c r="B979" s="1">
        <v>45325</v>
      </c>
      <c r="C979" t="s">
        <v>38</v>
      </c>
      <c r="D979" t="s">
        <v>51</v>
      </c>
      <c r="E979" t="s">
        <v>27</v>
      </c>
      <c r="F979">
        <v>5</v>
      </c>
      <c r="G979">
        <v>3496.55</v>
      </c>
      <c r="H979" s="5">
        <v>0.1</v>
      </c>
      <c r="I979" t="s">
        <v>55</v>
      </c>
      <c r="J979" t="s">
        <v>49</v>
      </c>
      <c r="K979" t="s">
        <v>33</v>
      </c>
      <c r="L979">
        <v>15734.48</v>
      </c>
      <c r="M979" s="2" t="str">
        <f t="shared" si="30"/>
        <v>Feb</v>
      </c>
      <c r="N979" s="2" t="str">
        <f t="shared" si="31"/>
        <v>medium</v>
      </c>
      <c r="O979" s="2"/>
    </row>
    <row r="980" spans="1:15">
      <c r="A980" t="s">
        <v>1038</v>
      </c>
      <c r="B980" s="1">
        <v>45383</v>
      </c>
      <c r="C980" t="s">
        <v>38</v>
      </c>
      <c r="D980" t="s">
        <v>42</v>
      </c>
      <c r="E980" t="s">
        <v>80</v>
      </c>
      <c r="F980">
        <v>5</v>
      </c>
      <c r="G980">
        <v>6051.33</v>
      </c>
      <c r="H980" s="5">
        <v>0.2</v>
      </c>
      <c r="I980" t="s">
        <v>16</v>
      </c>
      <c r="J980" t="s">
        <v>29</v>
      </c>
      <c r="K980" t="s">
        <v>33</v>
      </c>
      <c r="L980">
        <v>24205.32</v>
      </c>
      <c r="M980" s="2" t="str">
        <f t="shared" si="30"/>
        <v>Apr</v>
      </c>
      <c r="N980" s="2" t="str">
        <f t="shared" si="31"/>
        <v>high</v>
      </c>
      <c r="O980" s="2"/>
    </row>
    <row r="981" spans="1:15">
      <c r="A981" t="s">
        <v>1039</v>
      </c>
      <c r="B981" s="1">
        <v>45624</v>
      </c>
      <c r="C981" t="s">
        <v>20</v>
      </c>
      <c r="D981" t="s">
        <v>61</v>
      </c>
      <c r="E981" t="s">
        <v>53</v>
      </c>
      <c r="F981">
        <v>3</v>
      </c>
      <c r="G981">
        <v>4321.53</v>
      </c>
      <c r="H981" s="5">
        <v>0.2</v>
      </c>
      <c r="I981" t="s">
        <v>22</v>
      </c>
      <c r="J981" t="s">
        <v>23</v>
      </c>
      <c r="K981" t="s">
        <v>33</v>
      </c>
      <c r="L981">
        <v>10371.67</v>
      </c>
      <c r="M981" s="2" t="str">
        <f t="shared" si="30"/>
        <v>Nov</v>
      </c>
      <c r="N981" s="2" t="str">
        <f t="shared" si="31"/>
        <v>medium</v>
      </c>
      <c r="O981" s="2"/>
    </row>
    <row r="982" spans="1:15">
      <c r="A982" t="s">
        <v>1040</v>
      </c>
      <c r="B982" s="1">
        <v>45549</v>
      </c>
      <c r="C982" t="s">
        <v>35</v>
      </c>
      <c r="D982" t="s">
        <v>36</v>
      </c>
      <c r="E982" t="s">
        <v>47</v>
      </c>
      <c r="F982">
        <v>3</v>
      </c>
      <c r="G982">
        <v>3993.38</v>
      </c>
      <c r="H982" s="5">
        <v>0.25</v>
      </c>
      <c r="I982" t="s">
        <v>55</v>
      </c>
      <c r="J982" t="s">
        <v>40</v>
      </c>
      <c r="K982" t="s">
        <v>33</v>
      </c>
      <c r="L982">
        <v>8985.1</v>
      </c>
      <c r="M982" s="2" t="str">
        <f t="shared" si="30"/>
        <v>Sep</v>
      </c>
      <c r="N982" s="2" t="str">
        <f t="shared" si="31"/>
        <v>low</v>
      </c>
      <c r="O982" s="2"/>
    </row>
    <row r="983" spans="1:15">
      <c r="A983" t="s">
        <v>1041</v>
      </c>
      <c r="B983" s="1">
        <v>45410</v>
      </c>
      <c r="C983" t="s">
        <v>25</v>
      </c>
      <c r="D983" t="s">
        <v>46</v>
      </c>
      <c r="E983" t="s">
        <v>1160</v>
      </c>
      <c r="F983">
        <v>2</v>
      </c>
      <c r="G983">
        <v>7204.78</v>
      </c>
      <c r="H983" s="5">
        <v>0.25</v>
      </c>
      <c r="I983" t="s">
        <v>28</v>
      </c>
      <c r="J983" t="s">
        <v>23</v>
      </c>
      <c r="K983" t="s">
        <v>33</v>
      </c>
      <c r="L983">
        <v>10807.17</v>
      </c>
      <c r="M983" s="2" t="str">
        <f t="shared" si="30"/>
        <v>Apr</v>
      </c>
      <c r="N983" s="2" t="str">
        <f t="shared" si="31"/>
        <v>medium</v>
      </c>
      <c r="O983" s="2"/>
    </row>
    <row r="984" spans="1:15">
      <c r="A984" t="s">
        <v>1042</v>
      </c>
      <c r="B984" s="1">
        <v>45347</v>
      </c>
      <c r="C984" t="s">
        <v>20</v>
      </c>
      <c r="D984" t="s">
        <v>59</v>
      </c>
      <c r="E984" t="s">
        <v>1160</v>
      </c>
      <c r="F984">
        <v>5</v>
      </c>
      <c r="G984">
        <v>7808.24</v>
      </c>
      <c r="H984" s="5">
        <v>0.1</v>
      </c>
      <c r="I984" t="s">
        <v>16</v>
      </c>
      <c r="J984" t="s">
        <v>17</v>
      </c>
      <c r="K984" t="s">
        <v>33</v>
      </c>
      <c r="L984">
        <v>35137.08</v>
      </c>
      <c r="M984" s="2" t="str">
        <f t="shared" si="30"/>
        <v>Feb</v>
      </c>
      <c r="N984" s="2" t="str">
        <f t="shared" si="31"/>
        <v>high</v>
      </c>
      <c r="O984" s="2"/>
    </row>
    <row r="985" spans="1:15">
      <c r="A985" t="s">
        <v>1043</v>
      </c>
      <c r="B985" s="1">
        <v>45569</v>
      </c>
      <c r="C985" t="s">
        <v>35</v>
      </c>
      <c r="D985" t="s">
        <v>36</v>
      </c>
      <c r="E985" t="s">
        <v>1160</v>
      </c>
      <c r="F985">
        <v>2</v>
      </c>
      <c r="G985">
        <v>2020.28</v>
      </c>
      <c r="H985" s="5">
        <v>0.15</v>
      </c>
      <c r="I985" t="s">
        <v>16</v>
      </c>
      <c r="J985" t="s">
        <v>29</v>
      </c>
      <c r="K985" t="s">
        <v>33</v>
      </c>
      <c r="L985">
        <v>3434.48</v>
      </c>
      <c r="M985" s="2" t="str">
        <f t="shared" si="30"/>
        <v>Oct</v>
      </c>
      <c r="N985" s="2" t="str">
        <f t="shared" si="31"/>
        <v>low</v>
      </c>
      <c r="O985" s="2"/>
    </row>
    <row r="986" spans="1:15">
      <c r="A986" t="s">
        <v>1044</v>
      </c>
      <c r="B986" s="1">
        <v>45304</v>
      </c>
      <c r="C986" t="s">
        <v>13</v>
      </c>
      <c r="D986" t="s">
        <v>14</v>
      </c>
      <c r="E986" t="s">
        <v>53</v>
      </c>
      <c r="F986">
        <v>3</v>
      </c>
      <c r="G986">
        <v>506.04</v>
      </c>
      <c r="H986" s="5">
        <v>0</v>
      </c>
      <c r="I986" t="s">
        <v>16</v>
      </c>
      <c r="J986" t="s">
        <v>23</v>
      </c>
      <c r="K986" t="s">
        <v>33</v>
      </c>
      <c r="L986">
        <v>1518.12</v>
      </c>
      <c r="M986" s="2" t="str">
        <f t="shared" si="30"/>
        <v>Jan</v>
      </c>
      <c r="N986" s="2" t="str">
        <f t="shared" si="31"/>
        <v>low</v>
      </c>
      <c r="O986" s="2"/>
    </row>
    <row r="987" spans="1:15">
      <c r="A987" t="s">
        <v>1045</v>
      </c>
      <c r="B987" s="1">
        <v>45451</v>
      </c>
      <c r="C987" t="s">
        <v>35</v>
      </c>
      <c r="D987" t="s">
        <v>63</v>
      </c>
      <c r="E987" t="s">
        <v>1160</v>
      </c>
      <c r="F987">
        <v>6</v>
      </c>
      <c r="G987">
        <v>890.89</v>
      </c>
      <c r="H987" s="5">
        <v>0.05</v>
      </c>
      <c r="I987" t="s">
        <v>16</v>
      </c>
      <c r="J987" t="s">
        <v>17</v>
      </c>
      <c r="K987" t="s">
        <v>18</v>
      </c>
      <c r="L987">
        <v>5078.07</v>
      </c>
      <c r="M987" s="2" t="str">
        <f t="shared" si="30"/>
        <v>Jun</v>
      </c>
      <c r="N987" s="2" t="str">
        <f t="shared" si="31"/>
        <v>low</v>
      </c>
      <c r="O987" s="2"/>
    </row>
    <row r="988" spans="1:15">
      <c r="A988" t="s">
        <v>1046</v>
      </c>
      <c r="B988" s="1">
        <v>45351</v>
      </c>
      <c r="C988" t="s">
        <v>35</v>
      </c>
      <c r="D988" t="s">
        <v>65</v>
      </c>
      <c r="E988" t="s">
        <v>53</v>
      </c>
      <c r="F988">
        <v>6</v>
      </c>
      <c r="G988">
        <v>2717.66</v>
      </c>
      <c r="H988" s="5">
        <v>0.05</v>
      </c>
      <c r="I988" t="s">
        <v>28</v>
      </c>
      <c r="J988" t="s">
        <v>17</v>
      </c>
      <c r="K988" t="s">
        <v>33</v>
      </c>
      <c r="L988">
        <v>15490.66</v>
      </c>
      <c r="M988" s="2" t="str">
        <f t="shared" si="30"/>
        <v>Feb</v>
      </c>
      <c r="N988" s="2" t="str">
        <f t="shared" si="31"/>
        <v>medium</v>
      </c>
      <c r="O988" s="2"/>
    </row>
    <row r="989" spans="1:15">
      <c r="A989" t="s">
        <v>1047</v>
      </c>
      <c r="B989" s="1">
        <v>45450</v>
      </c>
      <c r="C989" t="s">
        <v>20</v>
      </c>
      <c r="D989" t="s">
        <v>57</v>
      </c>
      <c r="E989" t="s">
        <v>80</v>
      </c>
      <c r="F989">
        <v>3</v>
      </c>
      <c r="G989">
        <v>6946.6</v>
      </c>
      <c r="H989" s="5">
        <v>0</v>
      </c>
      <c r="I989" t="s">
        <v>16</v>
      </c>
      <c r="J989" t="s">
        <v>49</v>
      </c>
      <c r="K989" t="s">
        <v>33</v>
      </c>
      <c r="L989">
        <v>20839.8</v>
      </c>
      <c r="M989" s="2" t="str">
        <f t="shared" si="30"/>
        <v>Jun</v>
      </c>
      <c r="N989" s="2" t="str">
        <f t="shared" si="31"/>
        <v>high</v>
      </c>
      <c r="O989" s="2"/>
    </row>
    <row r="990" spans="1:15">
      <c r="A990" t="s">
        <v>1048</v>
      </c>
      <c r="B990" s="1">
        <v>45372</v>
      </c>
      <c r="C990" t="s">
        <v>20</v>
      </c>
      <c r="D990" t="s">
        <v>59</v>
      </c>
      <c r="E990" t="s">
        <v>47</v>
      </c>
      <c r="F990">
        <v>1</v>
      </c>
      <c r="G990">
        <v>3726.26</v>
      </c>
      <c r="H990" s="5">
        <v>0</v>
      </c>
      <c r="I990" t="s">
        <v>16</v>
      </c>
      <c r="J990" t="s">
        <v>29</v>
      </c>
      <c r="K990" t="s">
        <v>33</v>
      </c>
      <c r="L990">
        <v>3726.26</v>
      </c>
      <c r="M990" s="2" t="str">
        <f t="shared" si="30"/>
        <v>Mar</v>
      </c>
      <c r="N990" s="2" t="str">
        <f t="shared" si="31"/>
        <v>low</v>
      </c>
      <c r="O990" s="2"/>
    </row>
    <row r="991" spans="1:15">
      <c r="A991" t="s">
        <v>1049</v>
      </c>
      <c r="B991" s="1">
        <v>45576</v>
      </c>
      <c r="C991" t="s">
        <v>13</v>
      </c>
      <c r="D991" t="s">
        <v>70</v>
      </c>
      <c r="E991" t="s">
        <v>32</v>
      </c>
      <c r="F991">
        <v>6</v>
      </c>
      <c r="G991">
        <v>2706.34</v>
      </c>
      <c r="H991" s="5">
        <v>0.2</v>
      </c>
      <c r="I991" t="s">
        <v>16</v>
      </c>
      <c r="J991" t="s">
        <v>29</v>
      </c>
      <c r="K991" t="s">
        <v>33</v>
      </c>
      <c r="L991">
        <v>12990.43</v>
      </c>
      <c r="M991" s="2" t="str">
        <f t="shared" si="30"/>
        <v>Oct</v>
      </c>
      <c r="N991" s="2" t="str">
        <f t="shared" si="31"/>
        <v>medium</v>
      </c>
      <c r="O991" s="2"/>
    </row>
    <row r="992" spans="1:15">
      <c r="A992" t="s">
        <v>1050</v>
      </c>
      <c r="B992" s="1">
        <v>45565</v>
      </c>
      <c r="C992" t="s">
        <v>25</v>
      </c>
      <c r="D992" t="s">
        <v>94</v>
      </c>
      <c r="E992" t="s">
        <v>80</v>
      </c>
      <c r="F992">
        <v>4</v>
      </c>
      <c r="G992">
        <v>731.65</v>
      </c>
      <c r="H992" s="5">
        <v>0.2</v>
      </c>
      <c r="I992" t="s">
        <v>55</v>
      </c>
      <c r="J992" t="s">
        <v>29</v>
      </c>
      <c r="K992" t="s">
        <v>33</v>
      </c>
      <c r="L992">
        <v>2341.2800000000002</v>
      </c>
      <c r="M992" s="2" t="str">
        <f t="shared" si="30"/>
        <v>Sep</v>
      </c>
      <c r="N992" s="2" t="str">
        <f t="shared" si="31"/>
        <v>low</v>
      </c>
      <c r="O992" s="2"/>
    </row>
    <row r="993" spans="1:15">
      <c r="A993" t="s">
        <v>1051</v>
      </c>
      <c r="B993" s="1">
        <v>45547</v>
      </c>
      <c r="C993" t="s">
        <v>35</v>
      </c>
      <c r="D993" t="s">
        <v>97</v>
      </c>
      <c r="E993" t="s">
        <v>1160</v>
      </c>
      <c r="F993">
        <v>6</v>
      </c>
      <c r="G993">
        <v>6152.75</v>
      </c>
      <c r="H993" s="5">
        <v>0.2</v>
      </c>
      <c r="I993" t="s">
        <v>16</v>
      </c>
      <c r="J993" t="s">
        <v>17</v>
      </c>
      <c r="K993" t="s">
        <v>33</v>
      </c>
      <c r="L993">
        <v>29533.200000000001</v>
      </c>
      <c r="M993" s="2" t="str">
        <f t="shared" si="30"/>
        <v>Sep</v>
      </c>
      <c r="N993" s="2" t="str">
        <f t="shared" si="31"/>
        <v>high</v>
      </c>
      <c r="O993" s="2"/>
    </row>
    <row r="994" spans="1:15">
      <c r="A994" t="s">
        <v>1052</v>
      </c>
      <c r="B994" s="1">
        <v>45316</v>
      </c>
      <c r="C994" t="s">
        <v>38</v>
      </c>
      <c r="D994" t="s">
        <v>100</v>
      </c>
      <c r="E994" t="s">
        <v>32</v>
      </c>
      <c r="F994">
        <v>2</v>
      </c>
      <c r="G994">
        <v>6796.24</v>
      </c>
      <c r="H994" s="5">
        <v>0.15</v>
      </c>
      <c r="I994" t="s">
        <v>16</v>
      </c>
      <c r="J994" t="s">
        <v>23</v>
      </c>
      <c r="K994" t="s">
        <v>33</v>
      </c>
      <c r="L994">
        <v>11553.61</v>
      </c>
      <c r="M994" s="2" t="str">
        <f t="shared" si="30"/>
        <v>Jan</v>
      </c>
      <c r="N994" s="2" t="str">
        <f t="shared" si="31"/>
        <v>medium</v>
      </c>
      <c r="O994" s="2"/>
    </row>
    <row r="995" spans="1:15">
      <c r="A995" t="s">
        <v>1053</v>
      </c>
      <c r="B995" s="1">
        <v>45540</v>
      </c>
      <c r="C995" t="s">
        <v>20</v>
      </c>
      <c r="D995" t="s">
        <v>57</v>
      </c>
      <c r="E995" t="s">
        <v>80</v>
      </c>
      <c r="F995">
        <v>1</v>
      </c>
      <c r="G995">
        <v>2784.89</v>
      </c>
      <c r="H995" s="5">
        <v>0</v>
      </c>
      <c r="I995" t="s">
        <v>16</v>
      </c>
      <c r="J995" t="s">
        <v>17</v>
      </c>
      <c r="K995" t="s">
        <v>18</v>
      </c>
      <c r="L995">
        <v>2784.89</v>
      </c>
      <c r="M995" s="2" t="str">
        <f t="shared" si="30"/>
        <v>Sep</v>
      </c>
      <c r="N995" s="2" t="str">
        <f t="shared" si="31"/>
        <v>low</v>
      </c>
      <c r="O995" s="2"/>
    </row>
    <row r="996" spans="1:15">
      <c r="A996" t="s">
        <v>1054</v>
      </c>
      <c r="B996" s="1">
        <v>45513</v>
      </c>
      <c r="C996" t="s">
        <v>38</v>
      </c>
      <c r="D996" t="s">
        <v>39</v>
      </c>
      <c r="E996" t="s">
        <v>80</v>
      </c>
      <c r="F996">
        <v>1</v>
      </c>
      <c r="G996">
        <v>283.52</v>
      </c>
      <c r="H996" s="5">
        <v>0</v>
      </c>
      <c r="I996" t="s">
        <v>22</v>
      </c>
      <c r="J996" t="s">
        <v>23</v>
      </c>
      <c r="K996" t="s">
        <v>33</v>
      </c>
      <c r="L996">
        <v>283.52</v>
      </c>
      <c r="M996" s="2" t="str">
        <f t="shared" si="30"/>
        <v>Aug</v>
      </c>
      <c r="N996" s="2" t="str">
        <f t="shared" si="31"/>
        <v>low</v>
      </c>
      <c r="O996" s="2"/>
    </row>
    <row r="997" spans="1:15">
      <c r="A997" t="s">
        <v>1055</v>
      </c>
      <c r="B997" s="1">
        <v>45614</v>
      </c>
      <c r="C997" t="s">
        <v>38</v>
      </c>
      <c r="D997" t="s">
        <v>42</v>
      </c>
      <c r="E997" t="s">
        <v>15</v>
      </c>
      <c r="F997">
        <v>2</v>
      </c>
      <c r="G997">
        <v>4678.59</v>
      </c>
      <c r="H997" s="5">
        <v>0.15</v>
      </c>
      <c r="I997" t="s">
        <v>16</v>
      </c>
      <c r="J997" t="s">
        <v>49</v>
      </c>
      <c r="K997" t="s">
        <v>33</v>
      </c>
      <c r="L997">
        <v>7953.6</v>
      </c>
      <c r="M997" s="2" t="str">
        <f t="shared" si="30"/>
        <v>Nov</v>
      </c>
      <c r="N997" s="2" t="str">
        <f t="shared" si="31"/>
        <v>low</v>
      </c>
      <c r="O997" s="2"/>
    </row>
    <row r="998" spans="1:15">
      <c r="A998" t="s">
        <v>1056</v>
      </c>
      <c r="B998" s="1">
        <v>45393</v>
      </c>
      <c r="C998" t="s">
        <v>20</v>
      </c>
      <c r="D998" t="s">
        <v>21</v>
      </c>
      <c r="E998" t="s">
        <v>15</v>
      </c>
      <c r="F998">
        <v>1</v>
      </c>
      <c r="G998">
        <v>6966.19</v>
      </c>
      <c r="H998" s="5">
        <v>0.15</v>
      </c>
      <c r="I998" t="s">
        <v>16</v>
      </c>
      <c r="J998" t="s">
        <v>49</v>
      </c>
      <c r="K998" t="s">
        <v>33</v>
      </c>
      <c r="L998">
        <v>5921.26</v>
      </c>
      <c r="M998" s="2" t="str">
        <f t="shared" si="30"/>
        <v>Apr</v>
      </c>
      <c r="N998" s="2" t="str">
        <f t="shared" si="31"/>
        <v>low</v>
      </c>
      <c r="O998" s="2"/>
    </row>
    <row r="999" spans="1:15">
      <c r="A999" t="s">
        <v>1057</v>
      </c>
      <c r="B999" s="1">
        <v>45377</v>
      </c>
      <c r="C999" t="s">
        <v>20</v>
      </c>
      <c r="D999" t="s">
        <v>21</v>
      </c>
      <c r="E999" t="s">
        <v>15</v>
      </c>
      <c r="F999">
        <v>4</v>
      </c>
      <c r="G999">
        <v>3776.96</v>
      </c>
      <c r="H999" s="5">
        <v>0</v>
      </c>
      <c r="I999" t="s">
        <v>16</v>
      </c>
      <c r="J999" t="s">
        <v>23</v>
      </c>
      <c r="K999" t="s">
        <v>18</v>
      </c>
      <c r="L999">
        <v>15107.84</v>
      </c>
      <c r="M999" s="2" t="str">
        <f t="shared" si="30"/>
        <v>Mar</v>
      </c>
      <c r="N999" s="2" t="str">
        <f t="shared" si="31"/>
        <v>medium</v>
      </c>
      <c r="O999" s="2"/>
    </row>
    <row r="1000" spans="1:15">
      <c r="A1000" t="s">
        <v>1058</v>
      </c>
      <c r="B1000" s="1">
        <v>45319</v>
      </c>
      <c r="C1000" t="s">
        <v>25</v>
      </c>
      <c r="D1000" t="s">
        <v>46</v>
      </c>
      <c r="E1000" t="s">
        <v>47</v>
      </c>
      <c r="F1000">
        <v>4</v>
      </c>
      <c r="G1000">
        <v>1467.63</v>
      </c>
      <c r="H1000" s="5">
        <v>0.05</v>
      </c>
      <c r="I1000" t="s">
        <v>55</v>
      </c>
      <c r="J1000" t="s">
        <v>49</v>
      </c>
      <c r="K1000" t="s">
        <v>33</v>
      </c>
      <c r="L1000">
        <v>5576.99</v>
      </c>
      <c r="M1000" s="2" t="str">
        <f t="shared" si="30"/>
        <v>Jan</v>
      </c>
      <c r="N1000" s="2" t="str">
        <f t="shared" si="31"/>
        <v>low</v>
      </c>
      <c r="O1000" s="2"/>
    </row>
    <row r="1001" spans="1:15">
      <c r="A1001" t="s">
        <v>1059</v>
      </c>
      <c r="B1001" s="1">
        <v>45528</v>
      </c>
      <c r="C1001" t="s">
        <v>38</v>
      </c>
      <c r="D1001" t="s">
        <v>51</v>
      </c>
      <c r="E1001" t="s">
        <v>27</v>
      </c>
      <c r="F1001">
        <v>3</v>
      </c>
      <c r="G1001">
        <v>577.57000000000005</v>
      </c>
      <c r="H1001" s="5">
        <v>0.2</v>
      </c>
      <c r="I1001" t="s">
        <v>22</v>
      </c>
      <c r="J1001" t="s">
        <v>29</v>
      </c>
      <c r="K1001" t="s">
        <v>33</v>
      </c>
      <c r="L1001">
        <v>1386.17</v>
      </c>
      <c r="M1001" s="2" t="str">
        <f t="shared" si="30"/>
        <v>Aug</v>
      </c>
      <c r="N1001" s="2" t="str">
        <f t="shared" si="31"/>
        <v>low</v>
      </c>
      <c r="O1001" s="2"/>
    </row>
    <row r="1002" spans="1:15">
      <c r="A1002" t="s">
        <v>1060</v>
      </c>
      <c r="B1002" s="1">
        <v>45344</v>
      </c>
      <c r="C1002" t="s">
        <v>20</v>
      </c>
      <c r="D1002" t="s">
        <v>21</v>
      </c>
      <c r="E1002" t="s">
        <v>47</v>
      </c>
      <c r="F1002">
        <v>2</v>
      </c>
      <c r="G1002">
        <v>5760.87</v>
      </c>
      <c r="H1002" s="5">
        <v>0</v>
      </c>
      <c r="I1002" t="s">
        <v>28</v>
      </c>
      <c r="J1002" t="s">
        <v>29</v>
      </c>
      <c r="K1002" t="s">
        <v>33</v>
      </c>
      <c r="L1002">
        <v>11521.74</v>
      </c>
      <c r="M1002" s="2" t="str">
        <f t="shared" si="30"/>
        <v>Feb</v>
      </c>
      <c r="N1002" s="2" t="str">
        <f t="shared" si="31"/>
        <v>medium</v>
      </c>
      <c r="O1002" s="2"/>
    </row>
    <row r="1003" spans="1:15">
      <c r="A1003" t="s">
        <v>1061</v>
      </c>
      <c r="B1003" s="1">
        <v>45539</v>
      </c>
      <c r="C1003" t="s">
        <v>13</v>
      </c>
      <c r="D1003" t="s">
        <v>14</v>
      </c>
      <c r="E1003" t="s">
        <v>47</v>
      </c>
      <c r="F1003">
        <v>2</v>
      </c>
      <c r="G1003">
        <v>1543.41</v>
      </c>
      <c r="H1003" s="5">
        <v>0.1</v>
      </c>
      <c r="I1003" t="s">
        <v>28</v>
      </c>
      <c r="J1003" t="s">
        <v>49</v>
      </c>
      <c r="K1003" t="s">
        <v>33</v>
      </c>
      <c r="L1003">
        <v>2778.14</v>
      </c>
      <c r="M1003" s="2" t="str">
        <f t="shared" si="30"/>
        <v>Sep</v>
      </c>
      <c r="N1003" s="2" t="str">
        <f t="shared" si="31"/>
        <v>low</v>
      </c>
      <c r="O1003" s="2"/>
    </row>
    <row r="1004" spans="1:15">
      <c r="A1004" t="s">
        <v>1062</v>
      </c>
      <c r="B1004" s="1">
        <v>45370</v>
      </c>
      <c r="C1004" t="s">
        <v>13</v>
      </c>
      <c r="D1004" t="s">
        <v>74</v>
      </c>
      <c r="E1004" t="s">
        <v>47</v>
      </c>
      <c r="F1004">
        <v>3</v>
      </c>
      <c r="G1004">
        <v>6528.12</v>
      </c>
      <c r="H1004" s="5">
        <v>0</v>
      </c>
      <c r="I1004" t="s">
        <v>16</v>
      </c>
      <c r="J1004" t="s">
        <v>40</v>
      </c>
      <c r="K1004" t="s">
        <v>33</v>
      </c>
      <c r="L1004">
        <v>19584.36</v>
      </c>
      <c r="M1004" s="2" t="str">
        <f t="shared" si="30"/>
        <v>Mar</v>
      </c>
      <c r="N1004" s="2" t="str">
        <f t="shared" si="31"/>
        <v>medium</v>
      </c>
      <c r="O1004" s="2"/>
    </row>
    <row r="1005" spans="1:15">
      <c r="A1005" t="s">
        <v>1063</v>
      </c>
      <c r="B1005" s="1">
        <v>45369</v>
      </c>
      <c r="C1005" t="s">
        <v>20</v>
      </c>
      <c r="D1005" t="s">
        <v>59</v>
      </c>
      <c r="E1005" t="s">
        <v>44</v>
      </c>
      <c r="F1005">
        <v>3</v>
      </c>
      <c r="G1005">
        <v>3997.75</v>
      </c>
      <c r="H1005" s="5">
        <v>0.1</v>
      </c>
      <c r="I1005" t="s">
        <v>16</v>
      </c>
      <c r="J1005" t="s">
        <v>29</v>
      </c>
      <c r="K1005" t="s">
        <v>33</v>
      </c>
      <c r="L1005">
        <v>10793.93</v>
      </c>
      <c r="M1005" s="2" t="str">
        <f t="shared" si="30"/>
        <v>Mar</v>
      </c>
      <c r="N1005" s="2" t="str">
        <f t="shared" si="31"/>
        <v>medium</v>
      </c>
      <c r="O1005" s="2"/>
    </row>
    <row r="1006" spans="1:15">
      <c r="A1006" t="s">
        <v>1064</v>
      </c>
      <c r="B1006" s="1">
        <v>45311</v>
      </c>
      <c r="C1006" t="s">
        <v>25</v>
      </c>
      <c r="D1006" t="s">
        <v>87</v>
      </c>
      <c r="E1006" t="s">
        <v>53</v>
      </c>
      <c r="F1006">
        <v>5</v>
      </c>
      <c r="G1006">
        <v>3488.18</v>
      </c>
      <c r="H1006" s="5">
        <v>0.1</v>
      </c>
      <c r="I1006" t="s">
        <v>55</v>
      </c>
      <c r="J1006" t="s">
        <v>40</v>
      </c>
      <c r="K1006" t="s">
        <v>33</v>
      </c>
      <c r="L1006">
        <v>15696.81</v>
      </c>
      <c r="M1006" s="2" t="str">
        <f t="shared" si="30"/>
        <v>Jan</v>
      </c>
      <c r="N1006" s="2" t="str">
        <f t="shared" si="31"/>
        <v>medium</v>
      </c>
      <c r="O1006" s="2"/>
    </row>
    <row r="1007" spans="1:15">
      <c r="A1007" t="s">
        <v>1065</v>
      </c>
      <c r="B1007" s="1">
        <v>45514</v>
      </c>
      <c r="C1007" t="s">
        <v>13</v>
      </c>
      <c r="D1007" t="s">
        <v>70</v>
      </c>
      <c r="E1007" t="s">
        <v>27</v>
      </c>
      <c r="F1007">
        <v>6</v>
      </c>
      <c r="G1007">
        <v>301.77999999999997</v>
      </c>
      <c r="H1007" s="5">
        <v>0.1</v>
      </c>
      <c r="I1007" t="s">
        <v>22</v>
      </c>
      <c r="J1007" t="s">
        <v>49</v>
      </c>
      <c r="K1007" t="s">
        <v>33</v>
      </c>
      <c r="L1007">
        <v>1629.61</v>
      </c>
      <c r="M1007" s="2" t="str">
        <f t="shared" si="30"/>
        <v>Aug</v>
      </c>
      <c r="N1007" s="2" t="str">
        <f t="shared" si="31"/>
        <v>low</v>
      </c>
      <c r="O1007" s="2"/>
    </row>
    <row r="1008" spans="1:15">
      <c r="A1008" t="s">
        <v>1066</v>
      </c>
      <c r="B1008" s="1">
        <v>45532</v>
      </c>
      <c r="C1008" t="s">
        <v>25</v>
      </c>
      <c r="D1008" t="s">
        <v>26</v>
      </c>
      <c r="E1008" t="s">
        <v>80</v>
      </c>
      <c r="F1008">
        <v>3</v>
      </c>
      <c r="G1008">
        <v>3571.7</v>
      </c>
      <c r="H1008" s="5">
        <v>0.1</v>
      </c>
      <c r="I1008" t="s">
        <v>16</v>
      </c>
      <c r="J1008" t="s">
        <v>49</v>
      </c>
      <c r="K1008" t="s">
        <v>18</v>
      </c>
      <c r="L1008">
        <v>9643.59</v>
      </c>
      <c r="M1008" s="2" t="str">
        <f t="shared" si="30"/>
        <v>Aug</v>
      </c>
      <c r="N1008" s="2" t="str">
        <f t="shared" si="31"/>
        <v>low</v>
      </c>
      <c r="O1008" s="2"/>
    </row>
    <row r="1009" spans="1:15">
      <c r="A1009" t="s">
        <v>1067</v>
      </c>
      <c r="B1009" s="1">
        <v>45357</v>
      </c>
      <c r="C1009" t="s">
        <v>20</v>
      </c>
      <c r="D1009" t="s">
        <v>57</v>
      </c>
      <c r="E1009" t="s">
        <v>27</v>
      </c>
      <c r="F1009">
        <v>5</v>
      </c>
      <c r="G1009">
        <v>2163.9699999999998</v>
      </c>
      <c r="H1009" s="5">
        <v>0.1</v>
      </c>
      <c r="I1009" t="s">
        <v>55</v>
      </c>
      <c r="J1009" t="s">
        <v>29</v>
      </c>
      <c r="K1009" t="s">
        <v>18</v>
      </c>
      <c r="L1009">
        <v>9737.86</v>
      </c>
      <c r="M1009" s="2" t="str">
        <f t="shared" si="30"/>
        <v>Mar</v>
      </c>
      <c r="N1009" s="2" t="str">
        <f t="shared" si="31"/>
        <v>low</v>
      </c>
      <c r="O1009" s="2"/>
    </row>
    <row r="1010" spans="1:15">
      <c r="A1010" t="s">
        <v>1068</v>
      </c>
      <c r="B1010" s="1">
        <v>45308</v>
      </c>
      <c r="C1010" t="s">
        <v>13</v>
      </c>
      <c r="D1010" t="s">
        <v>74</v>
      </c>
      <c r="E1010" t="s">
        <v>15</v>
      </c>
      <c r="F1010">
        <v>4</v>
      </c>
      <c r="G1010">
        <v>4703.79</v>
      </c>
      <c r="H1010" s="5">
        <v>0.1</v>
      </c>
      <c r="I1010" t="s">
        <v>22</v>
      </c>
      <c r="J1010" t="s">
        <v>49</v>
      </c>
      <c r="K1010" t="s">
        <v>33</v>
      </c>
      <c r="L1010">
        <v>16933.64</v>
      </c>
      <c r="M1010" s="2" t="str">
        <f t="shared" si="30"/>
        <v>Jan</v>
      </c>
      <c r="N1010" s="2" t="str">
        <f t="shared" si="31"/>
        <v>medium</v>
      </c>
      <c r="O1010" s="2"/>
    </row>
    <row r="1011" spans="1:15">
      <c r="A1011" t="s">
        <v>1069</v>
      </c>
      <c r="B1011" s="1">
        <v>45578</v>
      </c>
      <c r="C1011" t="s">
        <v>20</v>
      </c>
      <c r="D1011" t="s">
        <v>59</v>
      </c>
      <c r="E1011" t="s">
        <v>53</v>
      </c>
      <c r="F1011">
        <v>6</v>
      </c>
      <c r="G1011">
        <v>5380.66</v>
      </c>
      <c r="H1011" s="5">
        <v>0.25</v>
      </c>
      <c r="I1011" t="s">
        <v>22</v>
      </c>
      <c r="J1011" t="s">
        <v>49</v>
      </c>
      <c r="K1011" t="s">
        <v>33</v>
      </c>
      <c r="L1011">
        <v>24212.97</v>
      </c>
      <c r="M1011" s="2" t="str">
        <f t="shared" si="30"/>
        <v>Oct</v>
      </c>
      <c r="N1011" s="2" t="str">
        <f t="shared" si="31"/>
        <v>high</v>
      </c>
      <c r="O1011" s="2"/>
    </row>
    <row r="1012" spans="1:15">
      <c r="A1012" t="s">
        <v>1070</v>
      </c>
      <c r="B1012" s="1">
        <v>45627</v>
      </c>
      <c r="C1012" t="s">
        <v>25</v>
      </c>
      <c r="D1012" t="s">
        <v>26</v>
      </c>
      <c r="E1012" t="s">
        <v>44</v>
      </c>
      <c r="F1012">
        <v>1</v>
      </c>
      <c r="G1012">
        <v>6609.63</v>
      </c>
      <c r="H1012" s="5">
        <v>0.25</v>
      </c>
      <c r="I1012" t="s">
        <v>16</v>
      </c>
      <c r="J1012" t="s">
        <v>49</v>
      </c>
      <c r="K1012" t="s">
        <v>18</v>
      </c>
      <c r="L1012">
        <v>4957.22</v>
      </c>
      <c r="M1012" s="2" t="str">
        <f t="shared" si="30"/>
        <v>Dec</v>
      </c>
      <c r="N1012" s="2" t="str">
        <f t="shared" si="31"/>
        <v>low</v>
      </c>
      <c r="O1012" s="2"/>
    </row>
    <row r="1013" spans="1:15">
      <c r="A1013" t="s">
        <v>1071</v>
      </c>
      <c r="B1013" s="1">
        <v>45394</v>
      </c>
      <c r="C1013" t="s">
        <v>35</v>
      </c>
      <c r="D1013" t="s">
        <v>68</v>
      </c>
      <c r="E1013" t="s">
        <v>53</v>
      </c>
      <c r="F1013">
        <v>2</v>
      </c>
      <c r="G1013">
        <v>6399.1</v>
      </c>
      <c r="H1013" s="5">
        <v>0</v>
      </c>
      <c r="I1013" t="s">
        <v>16</v>
      </c>
      <c r="J1013" t="s">
        <v>49</v>
      </c>
      <c r="K1013" t="s">
        <v>33</v>
      </c>
      <c r="L1013">
        <v>12798.2</v>
      </c>
      <c r="M1013" s="2" t="str">
        <f t="shared" si="30"/>
        <v>Apr</v>
      </c>
      <c r="N1013" s="2" t="str">
        <f t="shared" si="31"/>
        <v>medium</v>
      </c>
      <c r="O1013" s="2"/>
    </row>
    <row r="1014" spans="1:15">
      <c r="A1014" t="s">
        <v>1072</v>
      </c>
      <c r="B1014" s="1">
        <v>45655</v>
      </c>
      <c r="C1014" t="s">
        <v>35</v>
      </c>
      <c r="D1014" t="s">
        <v>68</v>
      </c>
      <c r="E1014" t="s">
        <v>32</v>
      </c>
      <c r="F1014">
        <v>5</v>
      </c>
      <c r="G1014">
        <v>2444.89</v>
      </c>
      <c r="H1014" s="5">
        <v>0.25</v>
      </c>
      <c r="I1014" t="s">
        <v>28</v>
      </c>
      <c r="J1014" t="s">
        <v>49</v>
      </c>
      <c r="K1014" t="s">
        <v>18</v>
      </c>
      <c r="L1014">
        <v>9168.34</v>
      </c>
      <c r="M1014" s="2" t="str">
        <f t="shared" si="30"/>
        <v>Dec</v>
      </c>
      <c r="N1014" s="2" t="str">
        <f t="shared" si="31"/>
        <v>low</v>
      </c>
      <c r="O1014" s="2"/>
    </row>
    <row r="1015" spans="1:15">
      <c r="A1015" t="s">
        <v>1073</v>
      </c>
      <c r="B1015" s="1">
        <v>45513</v>
      </c>
      <c r="C1015" t="s">
        <v>25</v>
      </c>
      <c r="D1015" t="s">
        <v>87</v>
      </c>
      <c r="E1015" t="s">
        <v>1160</v>
      </c>
      <c r="F1015">
        <v>3</v>
      </c>
      <c r="G1015">
        <v>5795.82</v>
      </c>
      <c r="H1015" s="5">
        <v>0.15</v>
      </c>
      <c r="I1015" t="s">
        <v>16</v>
      </c>
      <c r="J1015" t="s">
        <v>49</v>
      </c>
      <c r="K1015" t="s">
        <v>33</v>
      </c>
      <c r="L1015">
        <v>14779.34</v>
      </c>
      <c r="M1015" s="2" t="str">
        <f t="shared" si="30"/>
        <v>Aug</v>
      </c>
      <c r="N1015" s="2" t="str">
        <f t="shared" si="31"/>
        <v>medium</v>
      </c>
      <c r="O1015" s="2"/>
    </row>
    <row r="1016" spans="1:15">
      <c r="A1016" t="s">
        <v>1074</v>
      </c>
      <c r="B1016" s="1">
        <v>45629</v>
      </c>
      <c r="C1016" t="s">
        <v>20</v>
      </c>
      <c r="D1016" t="s">
        <v>21</v>
      </c>
      <c r="E1016" t="s">
        <v>1160</v>
      </c>
      <c r="F1016">
        <v>1</v>
      </c>
      <c r="G1016">
        <v>566.46</v>
      </c>
      <c r="H1016" s="5">
        <v>0</v>
      </c>
      <c r="I1016" t="s">
        <v>22</v>
      </c>
      <c r="J1016" t="s">
        <v>40</v>
      </c>
      <c r="K1016" t="s">
        <v>18</v>
      </c>
      <c r="L1016">
        <f>(F1016*G1016)-(F1016*G1016)*H1016</f>
        <v>566.46</v>
      </c>
      <c r="M1016" s="2" t="str">
        <f t="shared" si="30"/>
        <v>Dec</v>
      </c>
      <c r="N1016" s="2" t="str">
        <f t="shared" si="31"/>
        <v>low</v>
      </c>
      <c r="O1016" s="2"/>
    </row>
    <row r="1017" spans="1:15">
      <c r="A1017" t="s">
        <v>1075</v>
      </c>
      <c r="B1017" s="1">
        <v>45332</v>
      </c>
      <c r="C1017" t="s">
        <v>35</v>
      </c>
      <c r="D1017" t="s">
        <v>65</v>
      </c>
      <c r="E1017" t="s">
        <v>47</v>
      </c>
      <c r="F1017">
        <v>1</v>
      </c>
      <c r="G1017">
        <v>6639.11</v>
      </c>
      <c r="H1017" s="5">
        <v>0</v>
      </c>
      <c r="I1017" t="s">
        <v>16</v>
      </c>
      <c r="J1017" t="s">
        <v>29</v>
      </c>
      <c r="K1017" t="s">
        <v>33</v>
      </c>
      <c r="L1017">
        <v>6639.11</v>
      </c>
      <c r="M1017" s="2" t="str">
        <f t="shared" si="30"/>
        <v>Feb</v>
      </c>
      <c r="N1017" s="2" t="str">
        <f t="shared" si="31"/>
        <v>low</v>
      </c>
      <c r="O1017" s="2"/>
    </row>
    <row r="1018" spans="1:15">
      <c r="A1018" t="s">
        <v>1076</v>
      </c>
      <c r="B1018" s="1">
        <v>45657</v>
      </c>
      <c r="C1018" t="s">
        <v>35</v>
      </c>
      <c r="D1018" t="s">
        <v>63</v>
      </c>
      <c r="E1018" t="s">
        <v>1160</v>
      </c>
      <c r="F1018">
        <v>5</v>
      </c>
      <c r="G1018">
        <v>2242.09</v>
      </c>
      <c r="H1018" s="5">
        <v>0.25</v>
      </c>
      <c r="I1018" t="s">
        <v>16</v>
      </c>
      <c r="J1018" t="s">
        <v>17</v>
      </c>
      <c r="K1018" t="s">
        <v>33</v>
      </c>
      <c r="L1018">
        <v>8407.84</v>
      </c>
      <c r="M1018" s="2" t="str">
        <f t="shared" si="30"/>
        <v>Dec</v>
      </c>
      <c r="N1018" s="2" t="str">
        <f t="shared" si="31"/>
        <v>low</v>
      </c>
      <c r="O1018" s="2"/>
    </row>
    <row r="1019" spans="1:15">
      <c r="A1019" t="s">
        <v>1077</v>
      </c>
      <c r="B1019" s="1">
        <v>45571</v>
      </c>
      <c r="C1019" t="s">
        <v>38</v>
      </c>
      <c r="D1019" t="s">
        <v>42</v>
      </c>
      <c r="E1019" t="s">
        <v>27</v>
      </c>
      <c r="F1019">
        <v>5</v>
      </c>
      <c r="G1019">
        <v>2780.04</v>
      </c>
      <c r="H1019" s="5">
        <v>0.1</v>
      </c>
      <c r="I1019" t="s">
        <v>16</v>
      </c>
      <c r="J1019" t="s">
        <v>17</v>
      </c>
      <c r="K1019" t="s">
        <v>33</v>
      </c>
      <c r="L1019">
        <v>12510.18</v>
      </c>
      <c r="M1019" s="2" t="str">
        <f t="shared" si="30"/>
        <v>Oct</v>
      </c>
      <c r="N1019" s="2" t="str">
        <f t="shared" si="31"/>
        <v>medium</v>
      </c>
      <c r="O1019" s="2"/>
    </row>
    <row r="1020" spans="1:15">
      <c r="A1020" t="s">
        <v>1078</v>
      </c>
      <c r="B1020" s="1">
        <v>45653</v>
      </c>
      <c r="C1020" t="s">
        <v>38</v>
      </c>
      <c r="D1020" t="s">
        <v>164</v>
      </c>
      <c r="E1020" t="s">
        <v>47</v>
      </c>
      <c r="F1020">
        <v>1</v>
      </c>
      <c r="G1020">
        <v>5513.97</v>
      </c>
      <c r="H1020" s="5">
        <v>0</v>
      </c>
      <c r="I1020" t="s">
        <v>16</v>
      </c>
      <c r="J1020" t="s">
        <v>29</v>
      </c>
      <c r="K1020" t="s">
        <v>18</v>
      </c>
      <c r="L1020">
        <v>5513.97</v>
      </c>
      <c r="M1020" s="2" t="str">
        <f t="shared" si="30"/>
        <v>Dec</v>
      </c>
      <c r="N1020" s="2" t="str">
        <f t="shared" si="31"/>
        <v>low</v>
      </c>
      <c r="O1020" s="2"/>
    </row>
    <row r="1021" spans="1:15">
      <c r="A1021" t="s">
        <v>1079</v>
      </c>
      <c r="B1021" s="1">
        <v>45387</v>
      </c>
      <c r="C1021" t="s">
        <v>35</v>
      </c>
      <c r="D1021" t="s">
        <v>63</v>
      </c>
      <c r="E1021" t="s">
        <v>1160</v>
      </c>
      <c r="F1021">
        <v>4</v>
      </c>
      <c r="G1021">
        <v>4092.66</v>
      </c>
      <c r="H1021" s="5">
        <v>0.1</v>
      </c>
      <c r="I1021" t="s">
        <v>28</v>
      </c>
      <c r="J1021" t="s">
        <v>40</v>
      </c>
      <c r="K1021" t="s">
        <v>33</v>
      </c>
      <c r="L1021">
        <v>14733.58</v>
      </c>
      <c r="M1021" s="2" t="str">
        <f t="shared" si="30"/>
        <v>Apr</v>
      </c>
      <c r="N1021" s="2" t="str">
        <f t="shared" si="31"/>
        <v>medium</v>
      </c>
      <c r="O1021" s="2"/>
    </row>
    <row r="1022" spans="1:15">
      <c r="A1022" t="s">
        <v>1080</v>
      </c>
      <c r="B1022" s="1">
        <v>45588</v>
      </c>
      <c r="C1022" t="s">
        <v>35</v>
      </c>
      <c r="D1022" t="s">
        <v>68</v>
      </c>
      <c r="E1022" t="s">
        <v>15</v>
      </c>
      <c r="F1022">
        <v>4</v>
      </c>
      <c r="G1022">
        <v>7699.36</v>
      </c>
      <c r="H1022" s="5">
        <v>0.1</v>
      </c>
      <c r="I1022" t="s">
        <v>16</v>
      </c>
      <c r="J1022" t="s">
        <v>49</v>
      </c>
      <c r="K1022" t="s">
        <v>33</v>
      </c>
      <c r="L1022">
        <v>27717.7</v>
      </c>
      <c r="M1022" s="2" t="str">
        <f t="shared" si="30"/>
        <v>Oct</v>
      </c>
      <c r="N1022" s="2" t="str">
        <f t="shared" si="31"/>
        <v>high</v>
      </c>
      <c r="O1022" s="2"/>
    </row>
    <row r="1023" spans="1:15">
      <c r="A1023" t="s">
        <v>1081</v>
      </c>
      <c r="B1023" s="1">
        <v>45543</v>
      </c>
      <c r="C1023" t="s">
        <v>13</v>
      </c>
      <c r="D1023" t="s">
        <v>76</v>
      </c>
      <c r="E1023" t="s">
        <v>1160</v>
      </c>
      <c r="F1023">
        <v>1</v>
      </c>
      <c r="G1023">
        <v>1729.5</v>
      </c>
      <c r="H1023" s="5">
        <v>0.25</v>
      </c>
      <c r="I1023" t="s">
        <v>16</v>
      </c>
      <c r="J1023" t="s">
        <v>49</v>
      </c>
      <c r="K1023" t="s">
        <v>33</v>
      </c>
      <c r="L1023">
        <v>1297.1199999999999</v>
      </c>
      <c r="M1023" s="2" t="str">
        <f t="shared" si="30"/>
        <v>Sep</v>
      </c>
      <c r="N1023" s="2" t="str">
        <f t="shared" si="31"/>
        <v>low</v>
      </c>
      <c r="O1023" s="2"/>
    </row>
    <row r="1024" spans="1:15">
      <c r="A1024" t="s">
        <v>1082</v>
      </c>
      <c r="B1024" s="1">
        <v>45571</v>
      </c>
      <c r="C1024" t="s">
        <v>35</v>
      </c>
      <c r="D1024" t="s">
        <v>97</v>
      </c>
      <c r="E1024" t="s">
        <v>80</v>
      </c>
      <c r="F1024">
        <v>1</v>
      </c>
      <c r="G1024">
        <v>7165.33</v>
      </c>
      <c r="H1024" s="5">
        <v>0.1</v>
      </c>
      <c r="I1024" t="s">
        <v>22</v>
      </c>
      <c r="J1024" t="s">
        <v>49</v>
      </c>
      <c r="K1024" t="s">
        <v>33</v>
      </c>
      <c r="L1024">
        <v>6448.8</v>
      </c>
      <c r="M1024" s="2" t="str">
        <f t="shared" si="30"/>
        <v>Oct</v>
      </c>
      <c r="N1024" s="2" t="str">
        <f t="shared" si="31"/>
        <v>low</v>
      </c>
      <c r="O1024" s="2"/>
    </row>
    <row r="1025" spans="1:15">
      <c r="A1025" t="s">
        <v>1083</v>
      </c>
      <c r="B1025" s="1">
        <v>45384</v>
      </c>
      <c r="C1025" t="s">
        <v>38</v>
      </c>
      <c r="D1025" t="s">
        <v>42</v>
      </c>
      <c r="E1025" t="s">
        <v>27</v>
      </c>
      <c r="F1025">
        <v>2</v>
      </c>
      <c r="G1025">
        <v>5071.8900000000003</v>
      </c>
      <c r="H1025" s="5">
        <v>0.25</v>
      </c>
      <c r="I1025" t="s">
        <v>16</v>
      </c>
      <c r="J1025" t="s">
        <v>17</v>
      </c>
      <c r="K1025" t="s">
        <v>33</v>
      </c>
      <c r="L1025">
        <v>7607.84</v>
      </c>
      <c r="M1025" s="2" t="str">
        <f t="shared" si="30"/>
        <v>Apr</v>
      </c>
      <c r="N1025" s="2" t="str">
        <f t="shared" si="31"/>
        <v>low</v>
      </c>
      <c r="O1025" s="2"/>
    </row>
    <row r="1026" spans="1:15">
      <c r="A1026" t="s">
        <v>1084</v>
      </c>
      <c r="B1026" s="1">
        <v>45466</v>
      </c>
      <c r="C1026" t="s">
        <v>38</v>
      </c>
      <c r="D1026" t="s">
        <v>51</v>
      </c>
      <c r="E1026" t="s">
        <v>15</v>
      </c>
      <c r="F1026">
        <v>4</v>
      </c>
      <c r="G1026">
        <v>5042.3599999999997</v>
      </c>
      <c r="H1026" s="5">
        <v>0.1</v>
      </c>
      <c r="I1026" t="s">
        <v>55</v>
      </c>
      <c r="J1026" t="s">
        <v>23</v>
      </c>
      <c r="K1026" t="s">
        <v>33</v>
      </c>
      <c r="L1026">
        <v>18152.5</v>
      </c>
      <c r="M1026" s="2" t="str">
        <f t="shared" ref="M1026:M1089" si="32">TEXT(B1026,"mmm")</f>
        <v>Jun</v>
      </c>
      <c r="N1026" s="2" t="str">
        <f t="shared" ref="N1026:N1089" si="33">IF(L1026&gt;20000,"high",IF(L1026&gt;10000,"medium","low"))</f>
        <v>medium</v>
      </c>
      <c r="O1026" s="2"/>
    </row>
    <row r="1027" spans="1:15">
      <c r="A1027" t="s">
        <v>1085</v>
      </c>
      <c r="B1027" s="1">
        <v>45540</v>
      </c>
      <c r="C1027" t="s">
        <v>13</v>
      </c>
      <c r="D1027" t="s">
        <v>108</v>
      </c>
      <c r="E1027" t="s">
        <v>15</v>
      </c>
      <c r="F1027">
        <v>3</v>
      </c>
      <c r="G1027">
        <v>6958.05</v>
      </c>
      <c r="H1027" s="5">
        <v>0.05</v>
      </c>
      <c r="I1027" t="s">
        <v>16</v>
      </c>
      <c r="J1027" t="s">
        <v>17</v>
      </c>
      <c r="K1027" t="s">
        <v>33</v>
      </c>
      <c r="L1027">
        <v>19830.439999999999</v>
      </c>
      <c r="M1027" s="2" t="str">
        <f t="shared" si="32"/>
        <v>Sep</v>
      </c>
      <c r="N1027" s="2" t="str">
        <f t="shared" si="33"/>
        <v>medium</v>
      </c>
      <c r="O1027" s="2"/>
    </row>
    <row r="1028" spans="1:15">
      <c r="A1028" t="s">
        <v>1086</v>
      </c>
      <c r="B1028" s="1">
        <v>45448</v>
      </c>
      <c r="C1028" t="s">
        <v>38</v>
      </c>
      <c r="D1028" t="s">
        <v>39</v>
      </c>
      <c r="E1028" t="s">
        <v>1160</v>
      </c>
      <c r="F1028">
        <v>1</v>
      </c>
      <c r="G1028">
        <v>1229.2</v>
      </c>
      <c r="H1028" s="5">
        <v>0.2</v>
      </c>
      <c r="I1028" t="s">
        <v>28</v>
      </c>
      <c r="J1028" t="s">
        <v>17</v>
      </c>
      <c r="K1028" t="s">
        <v>18</v>
      </c>
      <c r="L1028">
        <v>983.36</v>
      </c>
      <c r="M1028" s="2" t="str">
        <f t="shared" si="32"/>
        <v>Jun</v>
      </c>
      <c r="N1028" s="2" t="str">
        <f t="shared" si="33"/>
        <v>low</v>
      </c>
      <c r="O1028" s="2"/>
    </row>
    <row r="1029" spans="1:15">
      <c r="A1029" t="s">
        <v>1087</v>
      </c>
      <c r="B1029" s="1">
        <v>45429</v>
      </c>
      <c r="C1029" t="s">
        <v>38</v>
      </c>
      <c r="D1029" t="s">
        <v>39</v>
      </c>
      <c r="E1029" t="s">
        <v>15</v>
      </c>
      <c r="F1029">
        <v>6</v>
      </c>
      <c r="G1029">
        <v>4354.05</v>
      </c>
      <c r="H1029" s="5">
        <v>0.1</v>
      </c>
      <c r="I1029" t="s">
        <v>22</v>
      </c>
      <c r="J1029" t="s">
        <v>40</v>
      </c>
      <c r="K1029" t="s">
        <v>33</v>
      </c>
      <c r="L1029">
        <v>23511.87</v>
      </c>
      <c r="M1029" s="2" t="str">
        <f t="shared" si="32"/>
        <v>May</v>
      </c>
      <c r="N1029" s="2" t="str">
        <f t="shared" si="33"/>
        <v>high</v>
      </c>
      <c r="O1029" s="2"/>
    </row>
    <row r="1030" spans="1:15">
      <c r="A1030" t="s">
        <v>1088</v>
      </c>
      <c r="B1030" s="1">
        <v>45646</v>
      </c>
      <c r="C1030" t="s">
        <v>20</v>
      </c>
      <c r="D1030" t="s">
        <v>78</v>
      </c>
      <c r="E1030" t="s">
        <v>27</v>
      </c>
      <c r="F1030">
        <v>4</v>
      </c>
      <c r="G1030">
        <v>1191.95</v>
      </c>
      <c r="H1030" s="5">
        <v>0.15</v>
      </c>
      <c r="I1030" t="s">
        <v>16</v>
      </c>
      <c r="J1030" t="s">
        <v>23</v>
      </c>
      <c r="K1030" t="s">
        <v>33</v>
      </c>
      <c r="L1030">
        <v>4052.63</v>
      </c>
      <c r="M1030" s="2" t="str">
        <f t="shared" si="32"/>
        <v>Dec</v>
      </c>
      <c r="N1030" s="2" t="str">
        <f t="shared" si="33"/>
        <v>low</v>
      </c>
      <c r="O1030" s="2"/>
    </row>
    <row r="1031" spans="1:15">
      <c r="A1031" t="s">
        <v>1089</v>
      </c>
      <c r="B1031" s="1">
        <v>45597</v>
      </c>
      <c r="C1031" t="s">
        <v>25</v>
      </c>
      <c r="D1031" t="s">
        <v>94</v>
      </c>
      <c r="E1031" t="s">
        <v>47</v>
      </c>
      <c r="F1031">
        <v>3</v>
      </c>
      <c r="G1031">
        <v>3155.56</v>
      </c>
      <c r="H1031" s="5">
        <v>0.1</v>
      </c>
      <c r="I1031" t="s">
        <v>22</v>
      </c>
      <c r="J1031" t="s">
        <v>29</v>
      </c>
      <c r="K1031" t="s">
        <v>33</v>
      </c>
      <c r="L1031">
        <v>8520.01</v>
      </c>
      <c r="M1031" s="2" t="str">
        <f t="shared" si="32"/>
        <v>Nov</v>
      </c>
      <c r="N1031" s="2" t="str">
        <f t="shared" si="33"/>
        <v>low</v>
      </c>
      <c r="O1031" s="2"/>
    </row>
    <row r="1032" spans="1:15">
      <c r="A1032" t="s">
        <v>1090</v>
      </c>
      <c r="B1032" s="1">
        <v>45493</v>
      </c>
      <c r="C1032" t="s">
        <v>25</v>
      </c>
      <c r="D1032" t="s">
        <v>31</v>
      </c>
      <c r="E1032" t="s">
        <v>1160</v>
      </c>
      <c r="F1032">
        <v>1</v>
      </c>
      <c r="G1032">
        <v>7862.46</v>
      </c>
      <c r="H1032" s="5">
        <v>0.25</v>
      </c>
      <c r="I1032" t="s">
        <v>28</v>
      </c>
      <c r="J1032" t="s">
        <v>23</v>
      </c>
      <c r="K1032" t="s">
        <v>33</v>
      </c>
      <c r="L1032">
        <v>5896.85</v>
      </c>
      <c r="M1032" s="2" t="str">
        <f t="shared" si="32"/>
        <v>Jul</v>
      </c>
      <c r="N1032" s="2" t="str">
        <f t="shared" si="33"/>
        <v>low</v>
      </c>
      <c r="O1032" s="2"/>
    </row>
    <row r="1033" spans="1:15">
      <c r="A1033" t="s">
        <v>1091</v>
      </c>
      <c r="B1033" s="1">
        <v>45445</v>
      </c>
      <c r="C1033" t="s">
        <v>20</v>
      </c>
      <c r="D1033" t="s">
        <v>57</v>
      </c>
      <c r="E1033" t="s">
        <v>44</v>
      </c>
      <c r="F1033">
        <v>1</v>
      </c>
      <c r="G1033">
        <v>1375.18</v>
      </c>
      <c r="H1033" s="5">
        <v>0</v>
      </c>
      <c r="I1033" t="s">
        <v>16</v>
      </c>
      <c r="J1033" t="s">
        <v>23</v>
      </c>
      <c r="K1033" t="s">
        <v>33</v>
      </c>
      <c r="L1033">
        <v>1375.18</v>
      </c>
      <c r="M1033" s="2" t="str">
        <f t="shared" si="32"/>
        <v>Jun</v>
      </c>
      <c r="N1033" s="2" t="str">
        <f t="shared" si="33"/>
        <v>low</v>
      </c>
      <c r="O1033" s="2"/>
    </row>
    <row r="1034" spans="1:15">
      <c r="A1034" t="s">
        <v>1092</v>
      </c>
      <c r="B1034" s="1">
        <v>45352</v>
      </c>
      <c r="C1034" t="s">
        <v>38</v>
      </c>
      <c r="D1034" t="s">
        <v>51</v>
      </c>
      <c r="E1034" t="s">
        <v>47</v>
      </c>
      <c r="F1034">
        <v>4</v>
      </c>
      <c r="G1034">
        <v>1384.66</v>
      </c>
      <c r="H1034" s="5">
        <v>0</v>
      </c>
      <c r="I1034" t="s">
        <v>16</v>
      </c>
      <c r="J1034" t="s">
        <v>23</v>
      </c>
      <c r="K1034" t="s">
        <v>18</v>
      </c>
      <c r="L1034">
        <v>5538.64</v>
      </c>
      <c r="M1034" s="2" t="str">
        <f t="shared" si="32"/>
        <v>Mar</v>
      </c>
      <c r="N1034" s="2" t="str">
        <f t="shared" si="33"/>
        <v>low</v>
      </c>
      <c r="O1034" s="2"/>
    </row>
    <row r="1035" spans="1:15">
      <c r="A1035" t="s">
        <v>1093</v>
      </c>
      <c r="B1035" s="1">
        <v>45456</v>
      </c>
      <c r="C1035" t="s">
        <v>20</v>
      </c>
      <c r="D1035" t="s">
        <v>21</v>
      </c>
      <c r="E1035" t="s">
        <v>53</v>
      </c>
      <c r="F1035">
        <v>1</v>
      </c>
      <c r="G1035">
        <v>5415.1</v>
      </c>
      <c r="H1035" s="5">
        <v>0.1</v>
      </c>
      <c r="I1035" t="s">
        <v>16</v>
      </c>
      <c r="J1035" t="s">
        <v>49</v>
      </c>
      <c r="K1035" t="s">
        <v>33</v>
      </c>
      <c r="L1035">
        <v>4873.59</v>
      </c>
      <c r="M1035" s="2" t="str">
        <f t="shared" si="32"/>
        <v>Jun</v>
      </c>
      <c r="N1035" s="2" t="str">
        <f t="shared" si="33"/>
        <v>low</v>
      </c>
      <c r="O1035" s="2"/>
    </row>
    <row r="1036" spans="1:15">
      <c r="A1036" t="s">
        <v>1094</v>
      </c>
      <c r="B1036" s="1">
        <v>45452</v>
      </c>
      <c r="C1036" t="s">
        <v>35</v>
      </c>
      <c r="D1036" t="s">
        <v>68</v>
      </c>
      <c r="E1036" t="s">
        <v>47</v>
      </c>
      <c r="F1036">
        <v>4</v>
      </c>
      <c r="G1036">
        <v>7206.62</v>
      </c>
      <c r="H1036" s="5">
        <v>0.1</v>
      </c>
      <c r="I1036" t="s">
        <v>22</v>
      </c>
      <c r="J1036" t="s">
        <v>17</v>
      </c>
      <c r="K1036" t="s">
        <v>33</v>
      </c>
      <c r="L1036">
        <v>25943.83</v>
      </c>
      <c r="M1036" s="2" t="str">
        <f t="shared" si="32"/>
        <v>Jun</v>
      </c>
      <c r="N1036" s="2" t="str">
        <f t="shared" si="33"/>
        <v>high</v>
      </c>
      <c r="O1036" s="2"/>
    </row>
    <row r="1037" spans="1:15">
      <c r="A1037" t="s">
        <v>1095</v>
      </c>
      <c r="B1037" s="1">
        <v>45647</v>
      </c>
      <c r="C1037" t="s">
        <v>25</v>
      </c>
      <c r="D1037" t="s">
        <v>31</v>
      </c>
      <c r="E1037" t="s">
        <v>27</v>
      </c>
      <c r="F1037">
        <v>2</v>
      </c>
      <c r="G1037">
        <v>3642.13</v>
      </c>
      <c r="H1037" s="5">
        <v>0.25</v>
      </c>
      <c r="I1037" t="s">
        <v>22</v>
      </c>
      <c r="J1037" t="s">
        <v>29</v>
      </c>
      <c r="K1037" t="s">
        <v>33</v>
      </c>
      <c r="L1037">
        <v>5463.19</v>
      </c>
      <c r="M1037" s="2" t="str">
        <f t="shared" si="32"/>
        <v>Dec</v>
      </c>
      <c r="N1037" s="2" t="str">
        <f t="shared" si="33"/>
        <v>low</v>
      </c>
      <c r="O1037" s="2"/>
    </row>
    <row r="1038" spans="1:15">
      <c r="A1038" t="s">
        <v>1096</v>
      </c>
      <c r="B1038" s="1">
        <v>45298</v>
      </c>
      <c r="C1038" t="s">
        <v>38</v>
      </c>
      <c r="D1038" t="s">
        <v>42</v>
      </c>
      <c r="E1038" t="s">
        <v>47</v>
      </c>
      <c r="F1038">
        <v>3</v>
      </c>
      <c r="G1038">
        <v>601.30999999999995</v>
      </c>
      <c r="H1038" s="5">
        <v>0.1</v>
      </c>
      <c r="I1038" t="s">
        <v>28</v>
      </c>
      <c r="J1038" t="s">
        <v>23</v>
      </c>
      <c r="K1038" t="s">
        <v>33</v>
      </c>
      <c r="L1038">
        <v>1623.54</v>
      </c>
      <c r="M1038" s="2" t="str">
        <f t="shared" si="32"/>
        <v>Jan</v>
      </c>
      <c r="N1038" s="2" t="str">
        <f t="shared" si="33"/>
        <v>low</v>
      </c>
      <c r="O1038" s="2"/>
    </row>
    <row r="1039" spans="1:15">
      <c r="A1039" t="s">
        <v>1097</v>
      </c>
      <c r="B1039" s="1">
        <v>45391</v>
      </c>
      <c r="C1039" t="s">
        <v>38</v>
      </c>
      <c r="D1039" t="s">
        <v>51</v>
      </c>
      <c r="E1039" t="s">
        <v>53</v>
      </c>
      <c r="F1039">
        <v>1</v>
      </c>
      <c r="G1039">
        <v>3620.72</v>
      </c>
      <c r="H1039" s="5">
        <v>0.15</v>
      </c>
      <c r="I1039" t="s">
        <v>28</v>
      </c>
      <c r="J1039" t="s">
        <v>17</v>
      </c>
      <c r="K1039" t="s">
        <v>33</v>
      </c>
      <c r="L1039">
        <v>3077.61</v>
      </c>
      <c r="M1039" s="2" t="str">
        <f t="shared" si="32"/>
        <v>Apr</v>
      </c>
      <c r="N1039" s="2" t="str">
        <f t="shared" si="33"/>
        <v>low</v>
      </c>
      <c r="O1039" s="2"/>
    </row>
    <row r="1040" spans="1:15">
      <c r="A1040" t="s">
        <v>1098</v>
      </c>
      <c r="B1040" s="1">
        <v>45640</v>
      </c>
      <c r="C1040" t="s">
        <v>25</v>
      </c>
      <c r="D1040" t="s">
        <v>87</v>
      </c>
      <c r="E1040" t="s">
        <v>44</v>
      </c>
      <c r="F1040">
        <v>4</v>
      </c>
      <c r="G1040">
        <v>2729.83</v>
      </c>
      <c r="H1040" s="5">
        <v>0.1</v>
      </c>
      <c r="I1040" t="s">
        <v>28</v>
      </c>
      <c r="J1040" t="s">
        <v>17</v>
      </c>
      <c r="K1040" t="s">
        <v>18</v>
      </c>
      <c r="L1040">
        <v>9827.39</v>
      </c>
      <c r="M1040" s="2" t="str">
        <f t="shared" si="32"/>
        <v>Dec</v>
      </c>
      <c r="N1040" s="2" t="str">
        <f t="shared" si="33"/>
        <v>low</v>
      </c>
      <c r="O1040" s="2"/>
    </row>
    <row r="1041" spans="1:15">
      <c r="A1041" t="s">
        <v>1099</v>
      </c>
      <c r="B1041" s="1">
        <v>45443</v>
      </c>
      <c r="C1041" t="s">
        <v>25</v>
      </c>
      <c r="D1041" t="s">
        <v>87</v>
      </c>
      <c r="E1041" t="s">
        <v>80</v>
      </c>
      <c r="F1041">
        <v>1</v>
      </c>
      <c r="G1041">
        <v>6042.73</v>
      </c>
      <c r="H1041" s="5">
        <v>0</v>
      </c>
      <c r="I1041" t="s">
        <v>28</v>
      </c>
      <c r="J1041" t="s">
        <v>23</v>
      </c>
      <c r="K1041" t="s">
        <v>33</v>
      </c>
      <c r="L1041">
        <v>6042.73</v>
      </c>
      <c r="M1041" s="2" t="str">
        <f t="shared" si="32"/>
        <v>May</v>
      </c>
      <c r="N1041" s="2" t="str">
        <f t="shared" si="33"/>
        <v>low</v>
      </c>
      <c r="O1041" s="2"/>
    </row>
    <row r="1042" spans="1:15">
      <c r="A1042" t="s">
        <v>1100</v>
      </c>
      <c r="B1042" s="1">
        <v>45373</v>
      </c>
      <c r="C1042" t="s">
        <v>25</v>
      </c>
      <c r="D1042" t="s">
        <v>26</v>
      </c>
      <c r="E1042" t="s">
        <v>1160</v>
      </c>
      <c r="F1042">
        <v>4</v>
      </c>
      <c r="G1042">
        <v>2149.64</v>
      </c>
      <c r="H1042" s="5">
        <v>0.2</v>
      </c>
      <c r="I1042" t="s">
        <v>16</v>
      </c>
      <c r="J1042" t="s">
        <v>23</v>
      </c>
      <c r="K1042" t="s">
        <v>33</v>
      </c>
      <c r="L1042">
        <v>6878.85</v>
      </c>
      <c r="M1042" s="2" t="str">
        <f t="shared" si="32"/>
        <v>Mar</v>
      </c>
      <c r="N1042" s="2" t="str">
        <f t="shared" si="33"/>
        <v>low</v>
      </c>
      <c r="O1042" s="2"/>
    </row>
    <row r="1043" spans="1:15">
      <c r="A1043" t="s">
        <v>1101</v>
      </c>
      <c r="B1043" s="1">
        <v>45389</v>
      </c>
      <c r="C1043" t="s">
        <v>38</v>
      </c>
      <c r="D1043" t="s">
        <v>100</v>
      </c>
      <c r="E1043" t="s">
        <v>80</v>
      </c>
      <c r="F1043">
        <v>4</v>
      </c>
      <c r="G1043">
        <v>7337.5</v>
      </c>
      <c r="H1043" s="5">
        <v>0</v>
      </c>
      <c r="I1043" t="s">
        <v>55</v>
      </c>
      <c r="J1043" t="s">
        <v>17</v>
      </c>
      <c r="K1043" t="s">
        <v>33</v>
      </c>
      <c r="L1043">
        <v>29350</v>
      </c>
      <c r="M1043" s="2" t="str">
        <f t="shared" si="32"/>
        <v>Apr</v>
      </c>
      <c r="N1043" s="2" t="str">
        <f t="shared" si="33"/>
        <v>high</v>
      </c>
      <c r="O1043" s="2"/>
    </row>
    <row r="1044" spans="1:15">
      <c r="A1044" t="s">
        <v>1102</v>
      </c>
      <c r="B1044" s="1">
        <v>45443</v>
      </c>
      <c r="C1044" t="s">
        <v>20</v>
      </c>
      <c r="D1044" t="s">
        <v>59</v>
      </c>
      <c r="E1044" t="s">
        <v>32</v>
      </c>
      <c r="F1044">
        <v>4</v>
      </c>
      <c r="G1044">
        <v>2047.72</v>
      </c>
      <c r="H1044" s="5">
        <v>0</v>
      </c>
      <c r="I1044" t="s">
        <v>22</v>
      </c>
      <c r="J1044" t="s">
        <v>23</v>
      </c>
      <c r="K1044" t="s">
        <v>18</v>
      </c>
      <c r="L1044">
        <v>8190.88</v>
      </c>
      <c r="M1044" s="2" t="str">
        <f t="shared" si="32"/>
        <v>May</v>
      </c>
      <c r="N1044" s="2" t="str">
        <f t="shared" si="33"/>
        <v>low</v>
      </c>
      <c r="O1044" s="2"/>
    </row>
    <row r="1045" spans="1:15">
      <c r="A1045" t="s">
        <v>1103</v>
      </c>
      <c r="B1045" s="1">
        <v>45617</v>
      </c>
      <c r="C1045" t="s">
        <v>35</v>
      </c>
      <c r="D1045" t="s">
        <v>63</v>
      </c>
      <c r="E1045" t="s">
        <v>44</v>
      </c>
      <c r="F1045">
        <v>2</v>
      </c>
      <c r="G1045">
        <v>2441.16</v>
      </c>
      <c r="H1045" s="5">
        <v>0.15</v>
      </c>
      <c r="I1045" t="s">
        <v>22</v>
      </c>
      <c r="J1045" t="s">
        <v>29</v>
      </c>
      <c r="K1045" t="s">
        <v>18</v>
      </c>
      <c r="L1045">
        <v>4149.97</v>
      </c>
      <c r="M1045" s="2" t="str">
        <f t="shared" si="32"/>
        <v>Nov</v>
      </c>
      <c r="N1045" s="2" t="str">
        <f t="shared" si="33"/>
        <v>low</v>
      </c>
      <c r="O1045" s="2"/>
    </row>
    <row r="1046" spans="1:15">
      <c r="A1046" t="s">
        <v>1104</v>
      </c>
      <c r="B1046" s="1">
        <v>45581</v>
      </c>
      <c r="C1046" t="s">
        <v>13</v>
      </c>
      <c r="D1046" t="s">
        <v>14</v>
      </c>
      <c r="E1046" t="s">
        <v>15</v>
      </c>
      <c r="F1046">
        <v>6</v>
      </c>
      <c r="G1046">
        <v>1075.74</v>
      </c>
      <c r="H1046" s="5">
        <v>0</v>
      </c>
      <c r="I1046" t="s">
        <v>16</v>
      </c>
      <c r="J1046" t="s">
        <v>29</v>
      </c>
      <c r="K1046" t="s">
        <v>33</v>
      </c>
      <c r="L1046">
        <v>6454.44</v>
      </c>
      <c r="M1046" s="2" t="str">
        <f t="shared" si="32"/>
        <v>Oct</v>
      </c>
      <c r="N1046" s="2" t="str">
        <f t="shared" si="33"/>
        <v>low</v>
      </c>
      <c r="O1046" s="2"/>
    </row>
    <row r="1047" spans="1:15">
      <c r="A1047" t="s">
        <v>1105</v>
      </c>
      <c r="B1047" s="1">
        <v>45645</v>
      </c>
      <c r="C1047" t="s">
        <v>25</v>
      </c>
      <c r="D1047" t="s">
        <v>94</v>
      </c>
      <c r="E1047" t="s">
        <v>53</v>
      </c>
      <c r="F1047">
        <v>1</v>
      </c>
      <c r="G1047">
        <v>577.75</v>
      </c>
      <c r="H1047" s="5">
        <v>0.1</v>
      </c>
      <c r="I1047" t="s">
        <v>16</v>
      </c>
      <c r="J1047" t="s">
        <v>17</v>
      </c>
      <c r="K1047" t="s">
        <v>33</v>
      </c>
      <c r="L1047">
        <v>519.98</v>
      </c>
      <c r="M1047" s="2" t="str">
        <f t="shared" si="32"/>
        <v>Dec</v>
      </c>
      <c r="N1047" s="2" t="str">
        <f t="shared" si="33"/>
        <v>low</v>
      </c>
      <c r="O1047" s="2"/>
    </row>
    <row r="1048" spans="1:15">
      <c r="A1048" t="s">
        <v>1106</v>
      </c>
      <c r="B1048" s="1">
        <v>45506</v>
      </c>
      <c r="C1048" t="s">
        <v>35</v>
      </c>
      <c r="D1048" t="s">
        <v>68</v>
      </c>
      <c r="E1048" t="s">
        <v>32</v>
      </c>
      <c r="F1048">
        <v>3</v>
      </c>
      <c r="G1048">
        <v>4449.0200000000004</v>
      </c>
      <c r="H1048" s="5">
        <v>0.1</v>
      </c>
      <c r="I1048" t="s">
        <v>16</v>
      </c>
      <c r="J1048" t="s">
        <v>17</v>
      </c>
      <c r="K1048" t="s">
        <v>33</v>
      </c>
      <c r="L1048">
        <v>12012.35</v>
      </c>
      <c r="M1048" s="2" t="str">
        <f t="shared" si="32"/>
        <v>Aug</v>
      </c>
      <c r="N1048" s="2" t="str">
        <f t="shared" si="33"/>
        <v>medium</v>
      </c>
      <c r="O1048" s="2"/>
    </row>
    <row r="1049" spans="1:15">
      <c r="A1049" t="s">
        <v>1107</v>
      </c>
      <c r="B1049" s="1">
        <v>45456</v>
      </c>
      <c r="C1049" t="s">
        <v>13</v>
      </c>
      <c r="D1049" t="s">
        <v>74</v>
      </c>
      <c r="E1049" t="s">
        <v>27</v>
      </c>
      <c r="F1049">
        <v>3</v>
      </c>
      <c r="G1049">
        <v>5969.1</v>
      </c>
      <c r="H1049" s="5">
        <v>0</v>
      </c>
      <c r="I1049" t="s">
        <v>28</v>
      </c>
      <c r="J1049" t="s">
        <v>49</v>
      </c>
      <c r="K1049" t="s">
        <v>33</v>
      </c>
      <c r="L1049">
        <v>17907.3</v>
      </c>
      <c r="M1049" s="2" t="str">
        <f t="shared" si="32"/>
        <v>Jun</v>
      </c>
      <c r="N1049" s="2" t="str">
        <f t="shared" si="33"/>
        <v>medium</v>
      </c>
      <c r="O1049" s="2"/>
    </row>
    <row r="1050" spans="1:15">
      <c r="A1050" t="s">
        <v>1108</v>
      </c>
      <c r="B1050" s="1">
        <v>45636</v>
      </c>
      <c r="C1050" t="s">
        <v>20</v>
      </c>
      <c r="D1050" t="s">
        <v>21</v>
      </c>
      <c r="E1050" t="s">
        <v>44</v>
      </c>
      <c r="F1050">
        <v>5</v>
      </c>
      <c r="G1050">
        <v>3317.63</v>
      </c>
      <c r="H1050" s="5">
        <v>0.05</v>
      </c>
      <c r="I1050" t="s">
        <v>22</v>
      </c>
      <c r="J1050" t="s">
        <v>23</v>
      </c>
      <c r="K1050" t="s">
        <v>33</v>
      </c>
      <c r="L1050">
        <v>15758.74</v>
      </c>
      <c r="M1050" s="2" t="str">
        <f t="shared" si="32"/>
        <v>Dec</v>
      </c>
      <c r="N1050" s="2" t="str">
        <f t="shared" si="33"/>
        <v>medium</v>
      </c>
      <c r="O1050" s="2"/>
    </row>
    <row r="1051" spans="1:15">
      <c r="A1051" t="s">
        <v>1109</v>
      </c>
      <c r="B1051" s="1">
        <v>45526</v>
      </c>
      <c r="C1051" t="s">
        <v>35</v>
      </c>
      <c r="D1051" t="s">
        <v>63</v>
      </c>
      <c r="E1051" t="s">
        <v>32</v>
      </c>
      <c r="F1051">
        <v>4</v>
      </c>
      <c r="G1051">
        <v>4816.82</v>
      </c>
      <c r="H1051" s="5">
        <v>0.15</v>
      </c>
      <c r="I1051" t="s">
        <v>16</v>
      </c>
      <c r="J1051" t="s">
        <v>17</v>
      </c>
      <c r="K1051" t="s">
        <v>33</v>
      </c>
      <c r="L1051">
        <v>16377.19</v>
      </c>
      <c r="M1051" s="2" t="str">
        <f t="shared" si="32"/>
        <v>Aug</v>
      </c>
      <c r="N1051" s="2" t="str">
        <f t="shared" si="33"/>
        <v>medium</v>
      </c>
      <c r="O1051" s="2"/>
    </row>
    <row r="1052" spans="1:15">
      <c r="A1052" t="s">
        <v>1110</v>
      </c>
      <c r="B1052" s="1">
        <v>45577</v>
      </c>
      <c r="C1052" t="s">
        <v>20</v>
      </c>
      <c r="D1052" t="s">
        <v>61</v>
      </c>
      <c r="E1052" t="s">
        <v>27</v>
      </c>
      <c r="F1052">
        <v>4</v>
      </c>
      <c r="G1052">
        <v>5622.4</v>
      </c>
      <c r="H1052" s="5">
        <v>0</v>
      </c>
      <c r="I1052" t="s">
        <v>16</v>
      </c>
      <c r="J1052" t="s">
        <v>29</v>
      </c>
      <c r="K1052" t="s">
        <v>33</v>
      </c>
      <c r="L1052">
        <v>22489.599999999999</v>
      </c>
      <c r="M1052" s="2" t="str">
        <f t="shared" si="32"/>
        <v>Oct</v>
      </c>
      <c r="N1052" s="2" t="str">
        <f t="shared" si="33"/>
        <v>high</v>
      </c>
      <c r="O1052" s="2"/>
    </row>
    <row r="1053" spans="1:15">
      <c r="A1053" t="s">
        <v>1111</v>
      </c>
      <c r="B1053" s="1">
        <v>45598</v>
      </c>
      <c r="C1053" t="s">
        <v>20</v>
      </c>
      <c r="D1053" t="s">
        <v>57</v>
      </c>
      <c r="E1053" t="s">
        <v>44</v>
      </c>
      <c r="F1053">
        <v>2</v>
      </c>
      <c r="G1053">
        <v>2320.3000000000002</v>
      </c>
      <c r="H1053" s="5">
        <v>0.15</v>
      </c>
      <c r="I1053" t="s">
        <v>16</v>
      </c>
      <c r="J1053" t="s">
        <v>49</v>
      </c>
      <c r="K1053" t="s">
        <v>18</v>
      </c>
      <c r="L1053">
        <f>(F1053*G1053)-(F1053*G1053)*H1053</f>
        <v>3944.51</v>
      </c>
      <c r="M1053" s="2" t="str">
        <f t="shared" si="32"/>
        <v>Nov</v>
      </c>
      <c r="N1053" s="2" t="str">
        <f t="shared" si="33"/>
        <v>low</v>
      </c>
      <c r="O1053" s="2"/>
    </row>
    <row r="1054" spans="1:15">
      <c r="A1054" t="s">
        <v>1112</v>
      </c>
      <c r="B1054" s="1">
        <v>45410</v>
      </c>
      <c r="C1054" t="s">
        <v>20</v>
      </c>
      <c r="D1054" t="s">
        <v>78</v>
      </c>
      <c r="E1054" t="s">
        <v>27</v>
      </c>
      <c r="F1054">
        <v>1</v>
      </c>
      <c r="G1054">
        <v>5684.12</v>
      </c>
      <c r="H1054" s="5">
        <v>0.25</v>
      </c>
      <c r="I1054" t="s">
        <v>55</v>
      </c>
      <c r="J1054" t="s">
        <v>40</v>
      </c>
      <c r="K1054" t="s">
        <v>33</v>
      </c>
      <c r="L1054">
        <v>4263.09</v>
      </c>
      <c r="M1054" s="2" t="str">
        <f t="shared" si="32"/>
        <v>Apr</v>
      </c>
      <c r="N1054" s="2" t="str">
        <f t="shared" si="33"/>
        <v>low</v>
      </c>
      <c r="O1054" s="2"/>
    </row>
    <row r="1055" spans="1:15">
      <c r="A1055" t="s">
        <v>1113</v>
      </c>
      <c r="B1055" s="1">
        <v>45599</v>
      </c>
      <c r="C1055" t="s">
        <v>13</v>
      </c>
      <c r="D1055" t="s">
        <v>14</v>
      </c>
      <c r="E1055" t="s">
        <v>80</v>
      </c>
      <c r="F1055">
        <v>2</v>
      </c>
      <c r="G1055">
        <v>3952.33</v>
      </c>
      <c r="H1055" s="5">
        <v>0.25</v>
      </c>
      <c r="I1055" t="s">
        <v>16</v>
      </c>
      <c r="J1055" t="s">
        <v>23</v>
      </c>
      <c r="K1055" t="s">
        <v>33</v>
      </c>
      <c r="L1055">
        <v>5928.49</v>
      </c>
      <c r="M1055" s="2" t="str">
        <f t="shared" si="32"/>
        <v>Nov</v>
      </c>
      <c r="N1055" s="2" t="str">
        <f t="shared" si="33"/>
        <v>low</v>
      </c>
      <c r="O1055" s="2"/>
    </row>
    <row r="1056" spans="1:15">
      <c r="A1056" t="s">
        <v>1114</v>
      </c>
      <c r="B1056" s="1">
        <v>45589</v>
      </c>
      <c r="C1056" t="s">
        <v>35</v>
      </c>
      <c r="D1056" t="s">
        <v>97</v>
      </c>
      <c r="E1056" t="s">
        <v>1160</v>
      </c>
      <c r="F1056">
        <v>6</v>
      </c>
      <c r="G1056">
        <v>1676.76</v>
      </c>
      <c r="H1056" s="5">
        <v>0.25</v>
      </c>
      <c r="I1056" t="s">
        <v>28</v>
      </c>
      <c r="J1056" t="s">
        <v>17</v>
      </c>
      <c r="K1056" t="s">
        <v>18</v>
      </c>
      <c r="L1056">
        <v>7545.42</v>
      </c>
      <c r="M1056" s="2" t="str">
        <f t="shared" si="32"/>
        <v>Oct</v>
      </c>
      <c r="N1056" s="2" t="str">
        <f t="shared" si="33"/>
        <v>low</v>
      </c>
      <c r="O1056" s="2"/>
    </row>
    <row r="1057" spans="1:15">
      <c r="A1057" t="s">
        <v>1115</v>
      </c>
      <c r="B1057" s="1">
        <v>45445</v>
      </c>
      <c r="C1057" t="s">
        <v>38</v>
      </c>
      <c r="D1057" t="s">
        <v>164</v>
      </c>
      <c r="E1057" t="s">
        <v>27</v>
      </c>
      <c r="F1057">
        <v>2</v>
      </c>
      <c r="G1057">
        <v>1366.58</v>
      </c>
      <c r="H1057" s="5">
        <v>0.05</v>
      </c>
      <c r="I1057" t="s">
        <v>28</v>
      </c>
      <c r="J1057" t="s">
        <v>49</v>
      </c>
      <c r="K1057" t="s">
        <v>33</v>
      </c>
      <c r="L1057">
        <v>2596.5</v>
      </c>
      <c r="M1057" s="2" t="str">
        <f t="shared" si="32"/>
        <v>Jun</v>
      </c>
      <c r="N1057" s="2" t="str">
        <f t="shared" si="33"/>
        <v>low</v>
      </c>
      <c r="O1057" s="2"/>
    </row>
    <row r="1058" spans="1:15">
      <c r="A1058" t="s">
        <v>1116</v>
      </c>
      <c r="B1058" s="1">
        <v>45381</v>
      </c>
      <c r="C1058" t="s">
        <v>38</v>
      </c>
      <c r="D1058" t="s">
        <v>42</v>
      </c>
      <c r="E1058" t="s">
        <v>47</v>
      </c>
      <c r="F1058">
        <v>3</v>
      </c>
      <c r="G1058">
        <v>3140.21</v>
      </c>
      <c r="H1058" s="5">
        <v>0.1</v>
      </c>
      <c r="I1058" t="s">
        <v>16</v>
      </c>
      <c r="J1058" t="s">
        <v>29</v>
      </c>
      <c r="K1058" t="s">
        <v>33</v>
      </c>
      <c r="L1058">
        <v>8478.57</v>
      </c>
      <c r="M1058" s="2" t="str">
        <f t="shared" si="32"/>
        <v>Mar</v>
      </c>
      <c r="N1058" s="2" t="str">
        <f t="shared" si="33"/>
        <v>low</v>
      </c>
      <c r="O1058" s="2"/>
    </row>
    <row r="1059" spans="1:15">
      <c r="A1059" t="s">
        <v>1117</v>
      </c>
      <c r="B1059" s="1">
        <v>45371</v>
      </c>
      <c r="C1059" t="s">
        <v>38</v>
      </c>
      <c r="D1059" t="s">
        <v>164</v>
      </c>
      <c r="E1059" t="s">
        <v>44</v>
      </c>
      <c r="F1059">
        <v>3</v>
      </c>
      <c r="G1059">
        <v>7731.78</v>
      </c>
      <c r="H1059" s="5">
        <v>0</v>
      </c>
      <c r="I1059" t="s">
        <v>22</v>
      </c>
      <c r="J1059" t="s">
        <v>49</v>
      </c>
      <c r="K1059" t="s">
        <v>18</v>
      </c>
      <c r="L1059">
        <v>23195.34</v>
      </c>
      <c r="M1059" s="2" t="str">
        <f t="shared" si="32"/>
        <v>Mar</v>
      </c>
      <c r="N1059" s="2" t="str">
        <f t="shared" si="33"/>
        <v>high</v>
      </c>
      <c r="O1059" s="2"/>
    </row>
    <row r="1060" spans="1:15">
      <c r="A1060" t="s">
        <v>1118</v>
      </c>
      <c r="B1060" s="1">
        <v>45343</v>
      </c>
      <c r="C1060" t="s">
        <v>20</v>
      </c>
      <c r="D1060" t="s">
        <v>78</v>
      </c>
      <c r="E1060" t="s">
        <v>53</v>
      </c>
      <c r="F1060">
        <v>2</v>
      </c>
      <c r="G1060">
        <v>4780.33</v>
      </c>
      <c r="H1060" s="5">
        <v>0.25</v>
      </c>
      <c r="I1060" t="s">
        <v>16</v>
      </c>
      <c r="J1060" t="s">
        <v>23</v>
      </c>
      <c r="K1060" t="s">
        <v>33</v>
      </c>
      <c r="L1060">
        <f>(F1060*G1060)-(F1060*G1060)*H1060</f>
        <v>7170.4949999999999</v>
      </c>
      <c r="M1060" s="2" t="str">
        <f t="shared" si="32"/>
        <v>Feb</v>
      </c>
      <c r="N1060" s="2" t="str">
        <f t="shared" si="33"/>
        <v>low</v>
      </c>
      <c r="O1060" s="2"/>
    </row>
    <row r="1061" spans="1:15">
      <c r="A1061" t="s">
        <v>1119</v>
      </c>
      <c r="B1061" s="1">
        <v>45429</v>
      </c>
      <c r="C1061" t="s">
        <v>13</v>
      </c>
      <c r="D1061" t="s">
        <v>14</v>
      </c>
      <c r="E1061" t="s">
        <v>15</v>
      </c>
      <c r="F1061">
        <v>4</v>
      </c>
      <c r="G1061">
        <v>3054.44</v>
      </c>
      <c r="H1061" s="5">
        <v>0.05</v>
      </c>
      <c r="I1061" t="s">
        <v>16</v>
      </c>
      <c r="J1061" t="s">
        <v>29</v>
      </c>
      <c r="K1061" t="s">
        <v>33</v>
      </c>
      <c r="L1061">
        <v>11606.87</v>
      </c>
      <c r="M1061" s="2" t="str">
        <f t="shared" si="32"/>
        <v>May</v>
      </c>
      <c r="N1061" s="2" t="str">
        <f t="shared" si="33"/>
        <v>medium</v>
      </c>
      <c r="O1061" s="2"/>
    </row>
    <row r="1062" spans="1:15">
      <c r="A1062" t="s">
        <v>1120</v>
      </c>
      <c r="B1062" s="1">
        <v>45371</v>
      </c>
      <c r="C1062" t="s">
        <v>38</v>
      </c>
      <c r="D1062" t="s">
        <v>42</v>
      </c>
      <c r="E1062" t="s">
        <v>32</v>
      </c>
      <c r="F1062">
        <v>4</v>
      </c>
      <c r="G1062">
        <v>6394.9</v>
      </c>
      <c r="H1062" s="5">
        <v>0.1</v>
      </c>
      <c r="I1062" t="s">
        <v>28</v>
      </c>
      <c r="J1062" t="s">
        <v>40</v>
      </c>
      <c r="K1062" t="s">
        <v>33</v>
      </c>
      <c r="L1062">
        <v>23021.64</v>
      </c>
      <c r="M1062" s="2" t="str">
        <f t="shared" si="32"/>
        <v>Mar</v>
      </c>
      <c r="N1062" s="2" t="str">
        <f t="shared" si="33"/>
        <v>high</v>
      </c>
      <c r="O1062" s="2"/>
    </row>
    <row r="1063" spans="1:15">
      <c r="A1063" t="s">
        <v>1121</v>
      </c>
      <c r="B1063" s="1">
        <v>45634</v>
      </c>
      <c r="C1063" t="s">
        <v>20</v>
      </c>
      <c r="D1063" t="s">
        <v>57</v>
      </c>
      <c r="E1063" t="s">
        <v>44</v>
      </c>
      <c r="F1063">
        <v>4</v>
      </c>
      <c r="G1063">
        <v>3182.52</v>
      </c>
      <c r="H1063" s="5">
        <v>0.2</v>
      </c>
      <c r="I1063" t="s">
        <v>16</v>
      </c>
      <c r="J1063" t="s">
        <v>49</v>
      </c>
      <c r="K1063" t="s">
        <v>33</v>
      </c>
      <c r="L1063">
        <v>10184.06</v>
      </c>
      <c r="M1063" s="2" t="str">
        <f t="shared" si="32"/>
        <v>Dec</v>
      </c>
      <c r="N1063" s="2" t="str">
        <f t="shared" si="33"/>
        <v>medium</v>
      </c>
      <c r="O1063" s="2"/>
    </row>
    <row r="1064" spans="1:15">
      <c r="A1064" t="s">
        <v>1122</v>
      </c>
      <c r="B1064" s="1">
        <v>45308</v>
      </c>
      <c r="C1064" t="s">
        <v>38</v>
      </c>
      <c r="D1064" t="s">
        <v>51</v>
      </c>
      <c r="E1064" t="s">
        <v>1160</v>
      </c>
      <c r="F1064">
        <v>5</v>
      </c>
      <c r="G1064">
        <v>6399.61</v>
      </c>
      <c r="H1064" s="5">
        <v>0.1</v>
      </c>
      <c r="I1064" t="s">
        <v>16</v>
      </c>
      <c r="J1064" t="s">
        <v>29</v>
      </c>
      <c r="K1064" t="s">
        <v>18</v>
      </c>
      <c r="L1064">
        <v>28798.240000000002</v>
      </c>
      <c r="M1064" s="2" t="str">
        <f t="shared" si="32"/>
        <v>Jan</v>
      </c>
      <c r="N1064" s="2" t="str">
        <f t="shared" si="33"/>
        <v>high</v>
      </c>
      <c r="O1064" s="2"/>
    </row>
    <row r="1065" spans="1:15">
      <c r="A1065" t="s">
        <v>1123</v>
      </c>
      <c r="B1065" s="1">
        <v>45596</v>
      </c>
      <c r="C1065" t="s">
        <v>20</v>
      </c>
      <c r="D1065" t="s">
        <v>21</v>
      </c>
      <c r="E1065" t="s">
        <v>32</v>
      </c>
      <c r="F1065">
        <v>4</v>
      </c>
      <c r="G1065">
        <v>253.08</v>
      </c>
      <c r="H1065" s="5">
        <v>0.15</v>
      </c>
      <c r="I1065" t="s">
        <v>22</v>
      </c>
      <c r="J1065" t="s">
        <v>23</v>
      </c>
      <c r="K1065" t="s">
        <v>33</v>
      </c>
      <c r="L1065">
        <v>860.47</v>
      </c>
      <c r="M1065" s="2" t="str">
        <f t="shared" si="32"/>
        <v>Oct</v>
      </c>
      <c r="N1065" s="2" t="str">
        <f t="shared" si="33"/>
        <v>low</v>
      </c>
      <c r="O1065" s="2"/>
    </row>
    <row r="1066" spans="1:15">
      <c r="A1066" t="s">
        <v>1124</v>
      </c>
      <c r="B1066" s="1">
        <v>45369</v>
      </c>
      <c r="C1066" t="s">
        <v>25</v>
      </c>
      <c r="D1066" t="s">
        <v>87</v>
      </c>
      <c r="E1066" t="s">
        <v>47</v>
      </c>
      <c r="F1066">
        <v>5</v>
      </c>
      <c r="G1066">
        <v>1883.75</v>
      </c>
      <c r="H1066" s="5">
        <v>0</v>
      </c>
      <c r="I1066" t="s">
        <v>16</v>
      </c>
      <c r="J1066" t="s">
        <v>23</v>
      </c>
      <c r="K1066" t="s">
        <v>18</v>
      </c>
      <c r="L1066">
        <v>9418.75</v>
      </c>
      <c r="M1066" s="2" t="str">
        <f t="shared" si="32"/>
        <v>Mar</v>
      </c>
      <c r="N1066" s="2" t="str">
        <f t="shared" si="33"/>
        <v>low</v>
      </c>
      <c r="O1066" s="2"/>
    </row>
    <row r="1067" spans="1:15">
      <c r="A1067" t="s">
        <v>1125</v>
      </c>
      <c r="B1067" s="1">
        <v>45449</v>
      </c>
      <c r="C1067" t="s">
        <v>35</v>
      </c>
      <c r="D1067" t="s">
        <v>65</v>
      </c>
      <c r="E1067" t="s">
        <v>27</v>
      </c>
      <c r="F1067">
        <v>3</v>
      </c>
      <c r="G1067">
        <v>5310.87</v>
      </c>
      <c r="H1067" s="5">
        <v>0.05</v>
      </c>
      <c r="I1067" t="s">
        <v>28</v>
      </c>
      <c r="J1067" t="s">
        <v>49</v>
      </c>
      <c r="K1067" t="s">
        <v>33</v>
      </c>
      <c r="L1067">
        <v>15135.98</v>
      </c>
      <c r="M1067" s="2" t="str">
        <f t="shared" si="32"/>
        <v>Jun</v>
      </c>
      <c r="N1067" s="2" t="str">
        <f t="shared" si="33"/>
        <v>medium</v>
      </c>
      <c r="O1067" s="2"/>
    </row>
    <row r="1068" spans="1:15">
      <c r="A1068" t="s">
        <v>1126</v>
      </c>
      <c r="B1068" s="1">
        <v>45482</v>
      </c>
      <c r="C1068" t="s">
        <v>38</v>
      </c>
      <c r="D1068" t="s">
        <v>42</v>
      </c>
      <c r="E1068" t="s">
        <v>47</v>
      </c>
      <c r="F1068">
        <v>3</v>
      </c>
      <c r="G1068">
        <v>6843.88</v>
      </c>
      <c r="H1068" s="5">
        <v>0.2</v>
      </c>
      <c r="I1068" t="s">
        <v>16</v>
      </c>
      <c r="J1068" t="s">
        <v>29</v>
      </c>
      <c r="K1068" t="s">
        <v>33</v>
      </c>
      <c r="L1068">
        <v>16425.310000000001</v>
      </c>
      <c r="M1068" s="2" t="str">
        <f t="shared" si="32"/>
        <v>Jul</v>
      </c>
      <c r="N1068" s="2" t="str">
        <f t="shared" si="33"/>
        <v>medium</v>
      </c>
      <c r="O1068" s="2"/>
    </row>
    <row r="1069" spans="1:15">
      <c r="A1069" t="s">
        <v>1127</v>
      </c>
      <c r="B1069" s="1">
        <v>45330</v>
      </c>
      <c r="C1069" t="s">
        <v>13</v>
      </c>
      <c r="D1069" t="s">
        <v>76</v>
      </c>
      <c r="E1069" t="s">
        <v>32</v>
      </c>
      <c r="F1069">
        <v>2</v>
      </c>
      <c r="G1069">
        <v>2322.0100000000002</v>
      </c>
      <c r="H1069" s="5">
        <v>0.1</v>
      </c>
      <c r="I1069" t="s">
        <v>16</v>
      </c>
      <c r="J1069" t="s">
        <v>29</v>
      </c>
      <c r="K1069" t="s">
        <v>33</v>
      </c>
      <c r="L1069">
        <v>4179.62</v>
      </c>
      <c r="M1069" s="2" t="str">
        <f t="shared" si="32"/>
        <v>Feb</v>
      </c>
      <c r="N1069" s="2" t="str">
        <f t="shared" si="33"/>
        <v>low</v>
      </c>
      <c r="O1069" s="2"/>
    </row>
    <row r="1070" spans="1:15">
      <c r="A1070" t="s">
        <v>1128</v>
      </c>
      <c r="B1070" s="1">
        <v>45644</v>
      </c>
      <c r="C1070" t="s">
        <v>35</v>
      </c>
      <c r="D1070" t="s">
        <v>63</v>
      </c>
      <c r="E1070" t="s">
        <v>15</v>
      </c>
      <c r="F1070">
        <v>6</v>
      </c>
      <c r="G1070">
        <v>6109.74</v>
      </c>
      <c r="H1070" s="5">
        <v>0.1</v>
      </c>
      <c r="I1070" t="s">
        <v>16</v>
      </c>
      <c r="J1070" t="s">
        <v>40</v>
      </c>
      <c r="K1070" t="s">
        <v>18</v>
      </c>
      <c r="L1070">
        <v>32992.6</v>
      </c>
      <c r="M1070" s="2" t="str">
        <f t="shared" si="32"/>
        <v>Dec</v>
      </c>
      <c r="N1070" s="2" t="str">
        <f t="shared" si="33"/>
        <v>high</v>
      </c>
      <c r="O1070" s="2"/>
    </row>
    <row r="1071" spans="1:15">
      <c r="A1071" t="s">
        <v>1129</v>
      </c>
      <c r="B1071" s="1">
        <v>45465</v>
      </c>
      <c r="C1071" t="s">
        <v>38</v>
      </c>
      <c r="D1071" t="s">
        <v>39</v>
      </c>
      <c r="E1071" t="s">
        <v>1160</v>
      </c>
      <c r="F1071">
        <v>5</v>
      </c>
      <c r="G1071">
        <v>2430.6799999999998</v>
      </c>
      <c r="H1071" s="5">
        <v>0.25</v>
      </c>
      <c r="I1071" t="s">
        <v>28</v>
      </c>
      <c r="J1071" t="s">
        <v>29</v>
      </c>
      <c r="K1071" t="s">
        <v>33</v>
      </c>
      <c r="L1071">
        <v>9115.0499999999993</v>
      </c>
      <c r="M1071" s="2" t="str">
        <f t="shared" si="32"/>
        <v>Jun</v>
      </c>
      <c r="N1071" s="2" t="str">
        <f t="shared" si="33"/>
        <v>low</v>
      </c>
      <c r="O1071" s="2"/>
    </row>
    <row r="1072" spans="1:15">
      <c r="A1072" t="s">
        <v>1130</v>
      </c>
      <c r="B1072" s="1">
        <v>45443</v>
      </c>
      <c r="C1072" t="s">
        <v>20</v>
      </c>
      <c r="D1072" t="s">
        <v>59</v>
      </c>
      <c r="E1072" t="s">
        <v>47</v>
      </c>
      <c r="F1072">
        <v>2</v>
      </c>
      <c r="G1072">
        <v>1298.45</v>
      </c>
      <c r="H1072" s="5">
        <v>0.15</v>
      </c>
      <c r="I1072" t="s">
        <v>16</v>
      </c>
      <c r="J1072" t="s">
        <v>29</v>
      </c>
      <c r="K1072" t="s">
        <v>18</v>
      </c>
      <c r="L1072">
        <v>2207.37</v>
      </c>
      <c r="M1072" s="2" t="str">
        <f t="shared" si="32"/>
        <v>May</v>
      </c>
      <c r="N1072" s="2" t="str">
        <f t="shared" si="33"/>
        <v>low</v>
      </c>
      <c r="O1072" s="2"/>
    </row>
    <row r="1073" spans="1:15">
      <c r="A1073" t="s">
        <v>1131</v>
      </c>
      <c r="B1073" s="1">
        <v>45477</v>
      </c>
      <c r="C1073" t="s">
        <v>35</v>
      </c>
      <c r="D1073" t="s">
        <v>63</v>
      </c>
      <c r="E1073" t="s">
        <v>44</v>
      </c>
      <c r="F1073">
        <v>3</v>
      </c>
      <c r="G1073">
        <v>1542.62</v>
      </c>
      <c r="H1073" s="5">
        <v>0.1</v>
      </c>
      <c r="I1073" t="s">
        <v>22</v>
      </c>
      <c r="J1073" t="s">
        <v>17</v>
      </c>
      <c r="K1073" t="s">
        <v>33</v>
      </c>
      <c r="L1073">
        <v>4165.07</v>
      </c>
      <c r="M1073" s="2" t="str">
        <f t="shared" si="32"/>
        <v>Jul</v>
      </c>
      <c r="N1073" s="2" t="str">
        <f t="shared" si="33"/>
        <v>low</v>
      </c>
      <c r="O1073" s="2"/>
    </row>
    <row r="1074" spans="1:15">
      <c r="A1074" t="s">
        <v>1132</v>
      </c>
      <c r="B1074" s="1">
        <v>45607</v>
      </c>
      <c r="C1074" t="s">
        <v>20</v>
      </c>
      <c r="D1074" t="s">
        <v>21</v>
      </c>
      <c r="E1074" t="s">
        <v>15</v>
      </c>
      <c r="F1074">
        <v>6</v>
      </c>
      <c r="G1074">
        <v>5472.87</v>
      </c>
      <c r="H1074" s="5">
        <v>0.25</v>
      </c>
      <c r="I1074" t="s">
        <v>22</v>
      </c>
      <c r="J1074" t="s">
        <v>40</v>
      </c>
      <c r="K1074" t="s">
        <v>18</v>
      </c>
      <c r="L1074">
        <v>24627.919999999998</v>
      </c>
      <c r="M1074" s="2" t="str">
        <f t="shared" si="32"/>
        <v>Nov</v>
      </c>
      <c r="N1074" s="2" t="str">
        <f t="shared" si="33"/>
        <v>high</v>
      </c>
      <c r="O1074" s="2"/>
    </row>
    <row r="1075" spans="1:15">
      <c r="A1075" t="s">
        <v>1133</v>
      </c>
      <c r="B1075" s="1">
        <v>45499</v>
      </c>
      <c r="C1075" t="s">
        <v>20</v>
      </c>
      <c r="D1075" t="s">
        <v>78</v>
      </c>
      <c r="E1075" t="s">
        <v>44</v>
      </c>
      <c r="F1075">
        <v>5</v>
      </c>
      <c r="G1075">
        <v>5017.53</v>
      </c>
      <c r="H1075" s="5">
        <v>0.1</v>
      </c>
      <c r="I1075" t="s">
        <v>16</v>
      </c>
      <c r="J1075" t="s">
        <v>17</v>
      </c>
      <c r="K1075" t="s">
        <v>18</v>
      </c>
      <c r="L1075">
        <v>22578.880000000001</v>
      </c>
      <c r="M1075" s="2" t="str">
        <f t="shared" si="32"/>
        <v>Jul</v>
      </c>
      <c r="N1075" s="2" t="str">
        <f t="shared" si="33"/>
        <v>high</v>
      </c>
      <c r="O1075" s="2"/>
    </row>
    <row r="1076" spans="1:15">
      <c r="A1076" t="s">
        <v>1134</v>
      </c>
      <c r="B1076" s="1">
        <v>45409</v>
      </c>
      <c r="C1076" t="s">
        <v>25</v>
      </c>
      <c r="D1076" t="s">
        <v>26</v>
      </c>
      <c r="E1076" t="s">
        <v>47</v>
      </c>
      <c r="F1076">
        <v>1</v>
      </c>
      <c r="G1076">
        <v>487.12</v>
      </c>
      <c r="H1076" s="5">
        <v>0</v>
      </c>
      <c r="I1076" t="s">
        <v>22</v>
      </c>
      <c r="J1076" t="s">
        <v>29</v>
      </c>
      <c r="K1076" t="s">
        <v>33</v>
      </c>
      <c r="L1076">
        <v>487.12</v>
      </c>
      <c r="M1076" s="2" t="str">
        <f t="shared" si="32"/>
        <v>Apr</v>
      </c>
      <c r="N1076" s="2" t="str">
        <f t="shared" si="33"/>
        <v>low</v>
      </c>
      <c r="O1076" s="2"/>
    </row>
    <row r="1077" spans="1:15">
      <c r="A1077" t="s">
        <v>1135</v>
      </c>
      <c r="B1077" s="1">
        <v>45459</v>
      </c>
      <c r="C1077" t="s">
        <v>38</v>
      </c>
      <c r="D1077" t="s">
        <v>51</v>
      </c>
      <c r="E1077" t="s">
        <v>32</v>
      </c>
      <c r="F1077">
        <v>2</v>
      </c>
      <c r="G1077">
        <v>3549.77</v>
      </c>
      <c r="H1077" s="5">
        <v>0.1</v>
      </c>
      <c r="I1077" t="s">
        <v>55</v>
      </c>
      <c r="J1077" t="s">
        <v>29</v>
      </c>
      <c r="K1077" t="s">
        <v>33</v>
      </c>
      <c r="L1077">
        <v>6389.59</v>
      </c>
      <c r="M1077" s="2" t="str">
        <f t="shared" si="32"/>
        <v>Jun</v>
      </c>
      <c r="N1077" s="2" t="str">
        <f t="shared" si="33"/>
        <v>low</v>
      </c>
      <c r="O1077" s="2"/>
    </row>
    <row r="1078" spans="1:15">
      <c r="A1078" t="s">
        <v>1136</v>
      </c>
      <c r="B1078" s="1">
        <v>45412</v>
      </c>
      <c r="C1078" t="s">
        <v>38</v>
      </c>
      <c r="D1078" t="s">
        <v>51</v>
      </c>
      <c r="E1078" t="s">
        <v>15</v>
      </c>
      <c r="F1078">
        <v>6</v>
      </c>
      <c r="G1078">
        <v>2728.01</v>
      </c>
      <c r="H1078" s="5">
        <v>0.1</v>
      </c>
      <c r="I1078" t="s">
        <v>16</v>
      </c>
      <c r="J1078" t="s">
        <v>40</v>
      </c>
      <c r="K1078" t="s">
        <v>33</v>
      </c>
      <c r="L1078">
        <v>14731.25</v>
      </c>
      <c r="M1078" s="2" t="str">
        <f t="shared" si="32"/>
        <v>Apr</v>
      </c>
      <c r="N1078" s="2" t="str">
        <f t="shared" si="33"/>
        <v>medium</v>
      </c>
      <c r="O1078" s="2"/>
    </row>
    <row r="1079" spans="1:15">
      <c r="A1079" t="s">
        <v>1137</v>
      </c>
      <c r="B1079" s="1">
        <v>45499</v>
      </c>
      <c r="C1079" t="s">
        <v>13</v>
      </c>
      <c r="D1079" t="s">
        <v>74</v>
      </c>
      <c r="E1079" t="s">
        <v>32</v>
      </c>
      <c r="F1079">
        <v>6</v>
      </c>
      <c r="G1079">
        <v>2208.5300000000002</v>
      </c>
      <c r="H1079" s="5">
        <v>0.2</v>
      </c>
      <c r="I1079" t="s">
        <v>16</v>
      </c>
      <c r="J1079" t="s">
        <v>40</v>
      </c>
      <c r="K1079" t="s">
        <v>18</v>
      </c>
      <c r="L1079">
        <v>10600.94</v>
      </c>
      <c r="M1079" s="2" t="str">
        <f t="shared" si="32"/>
        <v>Jul</v>
      </c>
      <c r="N1079" s="2" t="str">
        <f t="shared" si="33"/>
        <v>medium</v>
      </c>
      <c r="O1079" s="2"/>
    </row>
    <row r="1080" spans="1:15">
      <c r="A1080" t="s">
        <v>1138</v>
      </c>
      <c r="B1080" s="1">
        <v>45611</v>
      </c>
      <c r="C1080" t="s">
        <v>25</v>
      </c>
      <c r="D1080" t="s">
        <v>31</v>
      </c>
      <c r="E1080" t="s">
        <v>32</v>
      </c>
      <c r="F1080">
        <v>2</v>
      </c>
      <c r="G1080">
        <v>2397.73</v>
      </c>
      <c r="H1080" s="5">
        <v>0.2</v>
      </c>
      <c r="I1080" t="s">
        <v>16</v>
      </c>
      <c r="J1080" t="s">
        <v>17</v>
      </c>
      <c r="K1080" t="s">
        <v>18</v>
      </c>
      <c r="L1080">
        <v>3836.37</v>
      </c>
      <c r="M1080" s="2" t="str">
        <f t="shared" si="32"/>
        <v>Nov</v>
      </c>
      <c r="N1080" s="2" t="str">
        <f t="shared" si="33"/>
        <v>low</v>
      </c>
      <c r="O1080" s="2"/>
    </row>
    <row r="1081" spans="1:15">
      <c r="A1081" t="s">
        <v>1139</v>
      </c>
      <c r="B1081" s="1">
        <v>45599</v>
      </c>
      <c r="C1081" t="s">
        <v>25</v>
      </c>
      <c r="D1081" t="s">
        <v>94</v>
      </c>
      <c r="E1081" t="s">
        <v>27</v>
      </c>
      <c r="F1081">
        <v>4</v>
      </c>
      <c r="G1081">
        <v>1806.36</v>
      </c>
      <c r="H1081" s="5">
        <v>0.2</v>
      </c>
      <c r="I1081" t="s">
        <v>22</v>
      </c>
      <c r="J1081" t="s">
        <v>29</v>
      </c>
      <c r="K1081" t="s">
        <v>18</v>
      </c>
      <c r="L1081">
        <v>5780.35</v>
      </c>
      <c r="M1081" s="2" t="str">
        <f t="shared" si="32"/>
        <v>Nov</v>
      </c>
      <c r="N1081" s="2" t="str">
        <f t="shared" si="33"/>
        <v>low</v>
      </c>
      <c r="O1081" s="2"/>
    </row>
    <row r="1082" spans="1:15">
      <c r="A1082" t="s">
        <v>1140</v>
      </c>
      <c r="B1082" s="1">
        <v>45461</v>
      </c>
      <c r="C1082" t="s">
        <v>20</v>
      </c>
      <c r="D1082" t="s">
        <v>59</v>
      </c>
      <c r="E1082" t="s">
        <v>15</v>
      </c>
      <c r="F1082">
        <v>2</v>
      </c>
      <c r="G1082">
        <v>6796.69</v>
      </c>
      <c r="H1082" s="5">
        <v>0.1</v>
      </c>
      <c r="I1082" t="s">
        <v>16</v>
      </c>
      <c r="J1082" t="s">
        <v>23</v>
      </c>
      <c r="K1082" t="s">
        <v>18</v>
      </c>
      <c r="L1082">
        <v>12234.04</v>
      </c>
      <c r="M1082" s="2" t="str">
        <f t="shared" si="32"/>
        <v>Jun</v>
      </c>
      <c r="N1082" s="2" t="str">
        <f t="shared" si="33"/>
        <v>medium</v>
      </c>
      <c r="O1082" s="2"/>
    </row>
    <row r="1083" spans="1:15">
      <c r="A1083" t="s">
        <v>1141</v>
      </c>
      <c r="B1083" s="1">
        <v>45513</v>
      </c>
      <c r="C1083" t="s">
        <v>35</v>
      </c>
      <c r="D1083" t="s">
        <v>65</v>
      </c>
      <c r="E1083" t="s">
        <v>44</v>
      </c>
      <c r="F1083">
        <v>6</v>
      </c>
      <c r="G1083">
        <v>2159.48</v>
      </c>
      <c r="H1083" s="5">
        <v>0.05</v>
      </c>
      <c r="I1083" t="s">
        <v>55</v>
      </c>
      <c r="J1083" t="s">
        <v>23</v>
      </c>
      <c r="K1083" t="s">
        <v>33</v>
      </c>
      <c r="L1083">
        <v>12309.04</v>
      </c>
      <c r="M1083" s="2" t="str">
        <f t="shared" si="32"/>
        <v>Aug</v>
      </c>
      <c r="N1083" s="2" t="str">
        <f t="shared" si="33"/>
        <v>medium</v>
      </c>
      <c r="O1083" s="2"/>
    </row>
    <row r="1084" spans="1:15">
      <c r="A1084" t="s">
        <v>1142</v>
      </c>
      <c r="B1084" s="1">
        <v>45455</v>
      </c>
      <c r="C1084" t="s">
        <v>13</v>
      </c>
      <c r="D1084" t="s">
        <v>76</v>
      </c>
      <c r="E1084" t="s">
        <v>44</v>
      </c>
      <c r="F1084">
        <v>1</v>
      </c>
      <c r="G1084">
        <v>240.1</v>
      </c>
      <c r="H1084" s="5">
        <v>0.05</v>
      </c>
      <c r="I1084" t="s">
        <v>16</v>
      </c>
      <c r="J1084" t="s">
        <v>17</v>
      </c>
      <c r="K1084" t="s">
        <v>18</v>
      </c>
      <c r="L1084">
        <v>228.09</v>
      </c>
      <c r="M1084" s="2" t="str">
        <f t="shared" si="32"/>
        <v>Jun</v>
      </c>
      <c r="N1084" s="2" t="str">
        <f t="shared" si="33"/>
        <v>low</v>
      </c>
      <c r="O1084" s="2"/>
    </row>
    <row r="1085" spans="1:15">
      <c r="A1085" t="s">
        <v>1143</v>
      </c>
      <c r="B1085" s="1">
        <v>45656</v>
      </c>
      <c r="C1085" t="s">
        <v>35</v>
      </c>
      <c r="D1085" t="s">
        <v>68</v>
      </c>
      <c r="E1085" t="s">
        <v>53</v>
      </c>
      <c r="F1085">
        <v>3</v>
      </c>
      <c r="G1085">
        <v>408.6</v>
      </c>
      <c r="H1085" s="5">
        <v>0.1</v>
      </c>
      <c r="I1085" t="s">
        <v>55</v>
      </c>
      <c r="J1085" t="s">
        <v>29</v>
      </c>
      <c r="K1085" t="s">
        <v>18</v>
      </c>
      <c r="L1085">
        <f>(F1085*G1085)-(F1085*G1085)*H1085</f>
        <v>1103.2200000000003</v>
      </c>
      <c r="M1085" s="2" t="str">
        <f t="shared" si="32"/>
        <v>Dec</v>
      </c>
      <c r="N1085" s="2" t="str">
        <f t="shared" si="33"/>
        <v>low</v>
      </c>
      <c r="O1085" s="2"/>
    </row>
    <row r="1086" spans="1:15">
      <c r="A1086" t="s">
        <v>1144</v>
      </c>
      <c r="B1086" s="1">
        <v>45571</v>
      </c>
      <c r="C1086" t="s">
        <v>20</v>
      </c>
      <c r="D1086" t="s">
        <v>59</v>
      </c>
      <c r="E1086" t="s">
        <v>15</v>
      </c>
      <c r="F1086">
        <v>3</v>
      </c>
      <c r="G1086">
        <v>5654.78</v>
      </c>
      <c r="H1086" s="5">
        <v>0</v>
      </c>
      <c r="I1086" t="s">
        <v>16</v>
      </c>
      <c r="J1086" t="s">
        <v>40</v>
      </c>
      <c r="K1086" t="s">
        <v>33</v>
      </c>
      <c r="L1086">
        <v>16964.34</v>
      </c>
      <c r="M1086" s="2" t="str">
        <f t="shared" si="32"/>
        <v>Oct</v>
      </c>
      <c r="N1086" s="2" t="str">
        <f t="shared" si="33"/>
        <v>medium</v>
      </c>
      <c r="O1086" s="2"/>
    </row>
    <row r="1087" spans="1:15">
      <c r="A1087" t="s">
        <v>1145</v>
      </c>
      <c r="B1087" s="1">
        <v>45303</v>
      </c>
      <c r="C1087" t="s">
        <v>35</v>
      </c>
      <c r="D1087" t="s">
        <v>36</v>
      </c>
      <c r="E1087" t="s">
        <v>53</v>
      </c>
      <c r="F1087">
        <v>2</v>
      </c>
      <c r="G1087">
        <v>4429.08</v>
      </c>
      <c r="H1087" s="5">
        <v>0.05</v>
      </c>
      <c r="I1087" t="s">
        <v>16</v>
      </c>
      <c r="J1087" t="s">
        <v>40</v>
      </c>
      <c r="K1087" t="s">
        <v>33</v>
      </c>
      <c r="L1087">
        <v>8415.25</v>
      </c>
      <c r="M1087" s="2" t="str">
        <f t="shared" si="32"/>
        <v>Jan</v>
      </c>
      <c r="N1087" s="2" t="str">
        <f t="shared" si="33"/>
        <v>low</v>
      </c>
      <c r="O1087" s="2"/>
    </row>
    <row r="1088" spans="1:15">
      <c r="A1088" t="s">
        <v>1146</v>
      </c>
      <c r="B1088" s="1">
        <v>45482</v>
      </c>
      <c r="C1088" t="s">
        <v>25</v>
      </c>
      <c r="D1088" t="s">
        <v>26</v>
      </c>
      <c r="E1088" t="s">
        <v>27</v>
      </c>
      <c r="F1088">
        <v>1</v>
      </c>
      <c r="G1088">
        <v>2721.93</v>
      </c>
      <c r="H1088" s="5">
        <v>0.05</v>
      </c>
      <c r="I1088" t="s">
        <v>16</v>
      </c>
      <c r="J1088" t="s">
        <v>49</v>
      </c>
      <c r="K1088" t="s">
        <v>18</v>
      </c>
      <c r="L1088">
        <v>2585.83</v>
      </c>
      <c r="M1088" s="2" t="str">
        <f t="shared" si="32"/>
        <v>Jul</v>
      </c>
      <c r="N1088" s="2" t="str">
        <f t="shared" si="33"/>
        <v>low</v>
      </c>
      <c r="O1088" s="2"/>
    </row>
    <row r="1089" spans="1:15">
      <c r="A1089" t="s">
        <v>1147</v>
      </c>
      <c r="B1089" s="1">
        <v>45442</v>
      </c>
      <c r="C1089" t="s">
        <v>20</v>
      </c>
      <c r="D1089" t="s">
        <v>21</v>
      </c>
      <c r="E1089" t="s">
        <v>47</v>
      </c>
      <c r="F1089">
        <v>5</v>
      </c>
      <c r="G1089">
        <v>7199.48</v>
      </c>
      <c r="H1089" s="5">
        <v>0.25</v>
      </c>
      <c r="I1089" t="s">
        <v>55</v>
      </c>
      <c r="J1089" t="s">
        <v>23</v>
      </c>
      <c r="K1089" t="s">
        <v>33</v>
      </c>
      <c r="L1089">
        <v>26998.05</v>
      </c>
      <c r="M1089" s="2" t="str">
        <f t="shared" si="32"/>
        <v>May</v>
      </c>
      <c r="N1089" s="2" t="str">
        <f t="shared" si="33"/>
        <v>high</v>
      </c>
      <c r="O1089" s="2"/>
    </row>
    <row r="1090" spans="1:15">
      <c r="A1090" t="s">
        <v>1148</v>
      </c>
      <c r="B1090" s="1">
        <v>45363</v>
      </c>
      <c r="C1090" t="s">
        <v>13</v>
      </c>
      <c r="D1090" t="s">
        <v>74</v>
      </c>
      <c r="E1090" t="s">
        <v>27</v>
      </c>
      <c r="F1090">
        <v>4</v>
      </c>
      <c r="G1090">
        <v>3770.66</v>
      </c>
      <c r="H1090" s="5">
        <v>0</v>
      </c>
      <c r="I1090" t="s">
        <v>16</v>
      </c>
      <c r="J1090" t="s">
        <v>40</v>
      </c>
      <c r="K1090" t="s">
        <v>33</v>
      </c>
      <c r="L1090">
        <v>15082.64</v>
      </c>
      <c r="M1090" s="2" t="str">
        <f t="shared" ref="M1090:M1101" si="34">TEXT(B1090,"mmm")</f>
        <v>Mar</v>
      </c>
      <c r="N1090" s="2" t="str">
        <f t="shared" ref="N1090:N1101" si="35">IF(L1090&gt;20000,"high",IF(L1090&gt;10000,"medium","low"))</f>
        <v>medium</v>
      </c>
      <c r="O1090" s="2"/>
    </row>
    <row r="1091" spans="1:15">
      <c r="A1091" t="s">
        <v>1149</v>
      </c>
      <c r="B1091" s="1">
        <v>45496</v>
      </c>
      <c r="C1091" t="s">
        <v>20</v>
      </c>
      <c r="D1091" t="s">
        <v>21</v>
      </c>
      <c r="E1091" t="s">
        <v>53</v>
      </c>
      <c r="F1091">
        <v>4</v>
      </c>
      <c r="G1091">
        <v>1291.3499999999999</v>
      </c>
      <c r="H1091" s="5">
        <v>0.1</v>
      </c>
      <c r="I1091" t="s">
        <v>16</v>
      </c>
      <c r="J1091" t="s">
        <v>17</v>
      </c>
      <c r="K1091" t="s">
        <v>33</v>
      </c>
      <c r="L1091">
        <v>4648.8599999999997</v>
      </c>
      <c r="M1091" s="2" t="str">
        <f t="shared" si="34"/>
        <v>Jul</v>
      </c>
      <c r="N1091" s="2" t="str">
        <f t="shared" si="35"/>
        <v>low</v>
      </c>
      <c r="O1091" s="2"/>
    </row>
    <row r="1092" spans="1:15">
      <c r="A1092" t="s">
        <v>1150</v>
      </c>
      <c r="B1092" s="1">
        <v>45579</v>
      </c>
      <c r="C1092" t="s">
        <v>25</v>
      </c>
      <c r="D1092" t="s">
        <v>26</v>
      </c>
      <c r="E1092" t="s">
        <v>15</v>
      </c>
      <c r="F1092">
        <v>2</v>
      </c>
      <c r="G1092">
        <v>6527.7</v>
      </c>
      <c r="H1092" s="5">
        <v>0.25</v>
      </c>
      <c r="I1092" t="s">
        <v>16</v>
      </c>
      <c r="J1092" t="s">
        <v>17</v>
      </c>
      <c r="K1092" t="s">
        <v>18</v>
      </c>
      <c r="L1092">
        <v>9791.5499999999993</v>
      </c>
      <c r="M1092" s="2" t="str">
        <f t="shared" si="34"/>
        <v>Oct</v>
      </c>
      <c r="N1092" s="2" t="str">
        <f t="shared" si="35"/>
        <v>low</v>
      </c>
      <c r="O1092" s="2"/>
    </row>
    <row r="1093" spans="1:15">
      <c r="A1093" t="s">
        <v>1151</v>
      </c>
      <c r="B1093" s="1">
        <v>45643</v>
      </c>
      <c r="C1093" t="s">
        <v>25</v>
      </c>
      <c r="D1093" t="s">
        <v>94</v>
      </c>
      <c r="E1093" t="s">
        <v>47</v>
      </c>
      <c r="F1093">
        <v>3</v>
      </c>
      <c r="G1093">
        <v>730.2</v>
      </c>
      <c r="H1093" s="5">
        <v>0.1</v>
      </c>
      <c r="I1093" t="s">
        <v>16</v>
      </c>
      <c r="J1093" t="s">
        <v>49</v>
      </c>
      <c r="K1093" t="s">
        <v>18</v>
      </c>
      <c r="L1093">
        <v>1971.54</v>
      </c>
      <c r="M1093" s="2" t="str">
        <f t="shared" si="34"/>
        <v>Dec</v>
      </c>
      <c r="N1093" s="2" t="str">
        <f t="shared" si="35"/>
        <v>low</v>
      </c>
      <c r="O1093" s="2"/>
    </row>
    <row r="1094" spans="1:15">
      <c r="A1094" t="s">
        <v>1152</v>
      </c>
      <c r="B1094" s="1">
        <v>45342</v>
      </c>
      <c r="C1094" t="s">
        <v>20</v>
      </c>
      <c r="D1094" t="s">
        <v>78</v>
      </c>
      <c r="E1094" t="s">
        <v>53</v>
      </c>
      <c r="F1094">
        <v>5</v>
      </c>
      <c r="G1094">
        <v>6479.62</v>
      </c>
      <c r="H1094" s="5">
        <v>0</v>
      </c>
      <c r="I1094" t="s">
        <v>16</v>
      </c>
      <c r="J1094" t="s">
        <v>40</v>
      </c>
      <c r="K1094" t="s">
        <v>33</v>
      </c>
      <c r="L1094">
        <v>32398.1</v>
      </c>
      <c r="M1094" s="2" t="str">
        <f t="shared" si="34"/>
        <v>Feb</v>
      </c>
      <c r="N1094" s="2" t="str">
        <f t="shared" si="35"/>
        <v>high</v>
      </c>
      <c r="O1094" s="2"/>
    </row>
    <row r="1095" spans="1:15">
      <c r="A1095" t="s">
        <v>1153</v>
      </c>
      <c r="B1095" s="1">
        <v>45420</v>
      </c>
      <c r="C1095" t="s">
        <v>13</v>
      </c>
      <c r="D1095" t="s">
        <v>74</v>
      </c>
      <c r="E1095" t="s">
        <v>15</v>
      </c>
      <c r="F1095">
        <v>6</v>
      </c>
      <c r="G1095">
        <v>2583.85</v>
      </c>
      <c r="H1095" s="5">
        <v>0</v>
      </c>
      <c r="I1095" t="s">
        <v>55</v>
      </c>
      <c r="J1095" t="s">
        <v>40</v>
      </c>
      <c r="K1095" t="s">
        <v>33</v>
      </c>
      <c r="L1095">
        <v>15503.1</v>
      </c>
      <c r="M1095" s="2" t="str">
        <f t="shared" si="34"/>
        <v>May</v>
      </c>
      <c r="N1095" s="2" t="str">
        <f t="shared" si="35"/>
        <v>medium</v>
      </c>
      <c r="O1095" s="2"/>
    </row>
    <row r="1096" spans="1:15">
      <c r="A1096" t="s">
        <v>1154</v>
      </c>
      <c r="B1096" s="1">
        <v>45502</v>
      </c>
      <c r="C1096" t="s">
        <v>13</v>
      </c>
      <c r="D1096" t="s">
        <v>70</v>
      </c>
      <c r="E1096" t="s">
        <v>44</v>
      </c>
      <c r="F1096">
        <v>5</v>
      </c>
      <c r="G1096">
        <v>3138.93</v>
      </c>
      <c r="H1096" s="5">
        <v>0</v>
      </c>
      <c r="I1096" t="s">
        <v>16</v>
      </c>
      <c r="J1096" t="s">
        <v>29</v>
      </c>
      <c r="K1096" t="s">
        <v>33</v>
      </c>
      <c r="L1096">
        <f>(F1096*G1096)-(F1096*G1096)*H1096</f>
        <v>15694.65</v>
      </c>
      <c r="M1096" s="2" t="str">
        <f t="shared" si="34"/>
        <v>Jul</v>
      </c>
      <c r="N1096" s="2" t="str">
        <f t="shared" si="35"/>
        <v>medium</v>
      </c>
      <c r="O1096" s="2"/>
    </row>
    <row r="1097" spans="1:15">
      <c r="A1097" t="s">
        <v>1155</v>
      </c>
      <c r="B1097" s="1">
        <v>45408</v>
      </c>
      <c r="C1097" t="s">
        <v>35</v>
      </c>
      <c r="D1097" t="s">
        <v>68</v>
      </c>
      <c r="E1097" t="s">
        <v>15</v>
      </c>
      <c r="F1097">
        <v>2</v>
      </c>
      <c r="G1097">
        <v>5536.94</v>
      </c>
      <c r="H1097" s="5">
        <v>0.25</v>
      </c>
      <c r="I1097" t="s">
        <v>55</v>
      </c>
      <c r="J1097" t="s">
        <v>49</v>
      </c>
      <c r="K1097" t="s">
        <v>33</v>
      </c>
      <c r="L1097">
        <v>8305.41</v>
      </c>
      <c r="M1097" s="2" t="str">
        <f t="shared" si="34"/>
        <v>Apr</v>
      </c>
      <c r="N1097" s="2" t="str">
        <f t="shared" si="35"/>
        <v>low</v>
      </c>
      <c r="O1097" s="2"/>
    </row>
    <row r="1098" spans="1:15">
      <c r="A1098" t="s">
        <v>1156</v>
      </c>
      <c r="B1098" s="1">
        <v>45494</v>
      </c>
      <c r="C1098" t="s">
        <v>13</v>
      </c>
      <c r="D1098" t="s">
        <v>108</v>
      </c>
      <c r="E1098" t="s">
        <v>15</v>
      </c>
      <c r="F1098">
        <v>1</v>
      </c>
      <c r="G1098">
        <v>5287.21</v>
      </c>
      <c r="H1098" s="5">
        <v>0.05</v>
      </c>
      <c r="I1098" t="s">
        <v>16</v>
      </c>
      <c r="J1098" t="s">
        <v>17</v>
      </c>
      <c r="K1098" t="s">
        <v>33</v>
      </c>
      <c r="L1098">
        <v>5022.8500000000004</v>
      </c>
      <c r="M1098" s="2" t="str">
        <f t="shared" si="34"/>
        <v>Jul</v>
      </c>
      <c r="N1098" s="2" t="str">
        <f t="shared" si="35"/>
        <v>low</v>
      </c>
      <c r="O1098" s="2"/>
    </row>
    <row r="1099" spans="1:15">
      <c r="A1099" t="s">
        <v>1157</v>
      </c>
      <c r="B1099" s="1">
        <v>45332</v>
      </c>
      <c r="C1099" t="s">
        <v>38</v>
      </c>
      <c r="D1099" t="s">
        <v>51</v>
      </c>
      <c r="E1099" t="s">
        <v>15</v>
      </c>
      <c r="F1099">
        <v>4</v>
      </c>
      <c r="G1099">
        <v>5175.57</v>
      </c>
      <c r="H1099" s="5">
        <v>0.1</v>
      </c>
      <c r="I1099" t="s">
        <v>16</v>
      </c>
      <c r="J1099" t="s">
        <v>23</v>
      </c>
      <c r="K1099" t="s">
        <v>18</v>
      </c>
      <c r="L1099">
        <v>18632.05</v>
      </c>
      <c r="M1099" s="2" t="str">
        <f t="shared" si="34"/>
        <v>Feb</v>
      </c>
      <c r="N1099" s="2" t="str">
        <f t="shared" si="35"/>
        <v>medium</v>
      </c>
      <c r="O1099" s="2"/>
    </row>
    <row r="1100" spans="1:15">
      <c r="A1100" t="s">
        <v>1158</v>
      </c>
      <c r="B1100" s="1">
        <v>45297</v>
      </c>
      <c r="C1100" t="s">
        <v>13</v>
      </c>
      <c r="D1100" t="s">
        <v>74</v>
      </c>
      <c r="E1100" t="s">
        <v>44</v>
      </c>
      <c r="F1100">
        <v>2</v>
      </c>
      <c r="G1100">
        <v>4780.99</v>
      </c>
      <c r="H1100" s="5">
        <v>0.25</v>
      </c>
      <c r="I1100" t="s">
        <v>16</v>
      </c>
      <c r="J1100" t="s">
        <v>29</v>
      </c>
      <c r="K1100" t="s">
        <v>33</v>
      </c>
      <c r="L1100">
        <v>7171.48</v>
      </c>
      <c r="M1100" s="2" t="str">
        <f t="shared" si="34"/>
        <v>Jan</v>
      </c>
      <c r="N1100" s="2" t="str">
        <f t="shared" si="35"/>
        <v>low</v>
      </c>
      <c r="O1100" s="2"/>
    </row>
    <row r="1101" spans="1:15">
      <c r="A1101" t="s">
        <v>1159</v>
      </c>
      <c r="B1101" s="1">
        <v>45341</v>
      </c>
      <c r="C1101" t="s">
        <v>38</v>
      </c>
      <c r="D1101" t="s">
        <v>51</v>
      </c>
      <c r="E1101" t="s">
        <v>15</v>
      </c>
      <c r="F1101">
        <v>3</v>
      </c>
      <c r="G1101">
        <v>7956.12</v>
      </c>
      <c r="H1101" s="5">
        <v>0.25</v>
      </c>
      <c r="I1101" t="s">
        <v>16</v>
      </c>
      <c r="J1101" t="s">
        <v>40</v>
      </c>
      <c r="K1101" t="s">
        <v>33</v>
      </c>
      <c r="L1101">
        <v>17901.27</v>
      </c>
      <c r="M1101" s="2" t="str">
        <f t="shared" si="34"/>
        <v>Feb</v>
      </c>
      <c r="N1101" s="2" t="str">
        <f t="shared" si="35"/>
        <v>medium</v>
      </c>
      <c r="O1101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topLeftCell="A4" workbookViewId="0">
      <selection activeCell="B28" sqref="B28"/>
    </sheetView>
  </sheetViews>
  <sheetFormatPr defaultRowHeight="14.4"/>
  <cols>
    <col min="1" max="1" width="38.6640625" bestFit="1" customWidth="1"/>
    <col min="2" max="2" width="31" bestFit="1" customWidth="1"/>
  </cols>
  <sheetData>
    <row r="1" spans="1:2">
      <c r="A1" s="6" t="s">
        <v>1169</v>
      </c>
    </row>
    <row r="3" spans="1:2">
      <c r="A3" s="7" t="s">
        <v>1170</v>
      </c>
      <c r="B3" s="7" t="s">
        <v>1171</v>
      </c>
    </row>
    <row r="4" spans="1:2" ht="15">
      <c r="A4" s="8" t="s">
        <v>1172</v>
      </c>
      <c r="B4" s="9" t="s">
        <v>1196</v>
      </c>
    </row>
    <row r="5" spans="1:2" ht="15">
      <c r="A5" s="8" t="s">
        <v>1173</v>
      </c>
      <c r="B5" s="9" t="s">
        <v>1189</v>
      </c>
    </row>
    <row r="6" spans="1:2" ht="15">
      <c r="A6" s="8" t="s">
        <v>1174</v>
      </c>
      <c r="B6" s="9" t="s">
        <v>1190</v>
      </c>
    </row>
    <row r="7" spans="1:2" ht="15">
      <c r="A7" s="8" t="s">
        <v>1175</v>
      </c>
      <c r="B7" s="9" t="s">
        <v>1191</v>
      </c>
    </row>
    <row r="8" spans="1:2" ht="15">
      <c r="A8" s="8" t="s">
        <v>1176</v>
      </c>
      <c r="B8" s="9" t="s">
        <v>1192</v>
      </c>
    </row>
    <row r="9" spans="1:2" ht="15">
      <c r="A9" s="8" t="s">
        <v>1177</v>
      </c>
      <c r="B9" s="9" t="s">
        <v>1193</v>
      </c>
    </row>
    <row r="10" spans="1:2" ht="15">
      <c r="A10" s="8" t="s">
        <v>1178</v>
      </c>
      <c r="B10" s="9" t="s">
        <v>1194</v>
      </c>
    </row>
    <row r="11" spans="1:2" ht="15">
      <c r="A11" s="8" t="s">
        <v>1179</v>
      </c>
      <c r="B11" s="9" t="s">
        <v>1195</v>
      </c>
    </row>
    <row r="13" spans="1:2" ht="18">
      <c r="A13" s="10" t="s">
        <v>1180</v>
      </c>
    </row>
    <row r="14" spans="1:2">
      <c r="A14" s="11"/>
    </row>
    <row r="15" spans="1:2">
      <c r="A15" s="11" t="s">
        <v>1181</v>
      </c>
      <c r="B15" s="16">
        <f>COUNTA(Table1[OrderID])</f>
        <v>1100</v>
      </c>
    </row>
    <row r="16" spans="1:2">
      <c r="A16" s="11"/>
      <c r="B16" s="17"/>
    </row>
    <row r="17" spans="1:2">
      <c r="A17" s="11" t="s">
        <v>1182</v>
      </c>
      <c r="B17" s="16">
        <f>SUM(Table1[OrderAmount])</f>
        <v>13437721.617499996</v>
      </c>
    </row>
    <row r="18" spans="1:2">
      <c r="A18" s="11"/>
      <c r="B18" s="17"/>
    </row>
    <row r="19" spans="1:2">
      <c r="A19" s="11" t="s">
        <v>1183</v>
      </c>
      <c r="B19" s="16">
        <f>AVERAGE('Ecommerce_Raw_Data (2)'!L1071:L1101)</f>
        <v>10886.492580645157</v>
      </c>
    </row>
    <row r="20" spans="1:2">
      <c r="A20" s="11"/>
      <c r="B20" s="17"/>
    </row>
    <row r="21" spans="1:2">
      <c r="A21" s="11" t="s">
        <v>1184</v>
      </c>
      <c r="B21" s="16">
        <f>COUNTIF(Table1[OrderStatus],'Ecommerce_Raw_Data (2)'!I1072)</f>
        <v>554</v>
      </c>
    </row>
    <row r="22" spans="1:2">
      <c r="A22" s="11"/>
      <c r="B22" s="17"/>
    </row>
    <row r="23" spans="1:2">
      <c r="A23" s="11" t="s">
        <v>1185</v>
      </c>
      <c r="B23" s="16">
        <f>COUNTIF(Table1[OrderStatus],'Ecommerce_Raw_Data (2)'!I1077)</f>
        <v>177</v>
      </c>
    </row>
    <row r="24" spans="1:2">
      <c r="A24" s="11"/>
      <c r="B24" s="17"/>
    </row>
    <row r="25" spans="1:2">
      <c r="A25" s="11" t="s">
        <v>1186</v>
      </c>
      <c r="B25" s="16">
        <f>SUMIF(Table1[PaymentMode],"upi",Table1[OrderAmount])</f>
        <v>2734927.3959999993</v>
      </c>
    </row>
    <row r="26" spans="1:2">
      <c r="A26" s="11"/>
      <c r="B26" s="17"/>
    </row>
    <row r="27" spans="1:2">
      <c r="A27" s="11" t="s">
        <v>1187</v>
      </c>
      <c r="B27" s="16">
        <f>COUNTIF(Table1[Channel],'Ecommerce_Raw_Data (2)'!K1071)</f>
        <v>841</v>
      </c>
    </row>
    <row r="28" spans="1:2">
      <c r="A28" s="11"/>
      <c r="B28" s="17"/>
    </row>
    <row r="29" spans="1:2">
      <c r="A29" s="11" t="s">
        <v>1188</v>
      </c>
      <c r="B29" s="16">
        <f>SUMIF(Table1[Category],'Ecommerce_Raw_Data (2)'!C1097,Table1[OrderAmount])</f>
        <v>2547506.6469999989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4"/>
  <sheetViews>
    <sheetView topLeftCell="E1" workbookViewId="0">
      <selection activeCell="N2" sqref="N2"/>
    </sheetView>
  </sheetViews>
  <sheetFormatPr defaultRowHeight="14.4"/>
  <cols>
    <col min="1" max="1" width="16.77734375" customWidth="1"/>
    <col min="2" max="2" width="19.5546875" bestFit="1" customWidth="1"/>
    <col min="5" max="5" width="12.5546875" bestFit="1" customWidth="1"/>
    <col min="6" max="6" width="19.21875" customWidth="1"/>
    <col min="8" max="8" width="12.5546875" customWidth="1"/>
    <col min="9" max="9" width="19.33203125" customWidth="1"/>
    <col min="11" max="11" width="12.5546875" customWidth="1"/>
    <col min="12" max="12" width="19.33203125" bestFit="1" customWidth="1"/>
    <col min="14" max="14" width="22.5546875" bestFit="1" customWidth="1"/>
    <col min="15" max="15" width="20.6640625" bestFit="1" customWidth="1"/>
  </cols>
  <sheetData>
    <row r="1" spans="1:15" ht="51.6" customHeight="1">
      <c r="A1" s="15" t="s">
        <v>1197</v>
      </c>
      <c r="B1" s="15"/>
      <c r="E1" s="15" t="s">
        <v>1198</v>
      </c>
      <c r="F1" s="15"/>
      <c r="H1" s="15" t="s">
        <v>1199</v>
      </c>
      <c r="I1" s="15"/>
      <c r="K1" s="15" t="s">
        <v>1200</v>
      </c>
      <c r="L1" s="15"/>
    </row>
    <row r="2" spans="1:15" ht="14.4" customHeight="1">
      <c r="A2" s="12" t="s">
        <v>1203</v>
      </c>
      <c r="B2" t="s">
        <v>1205</v>
      </c>
      <c r="E2" s="12" t="s">
        <v>1203</v>
      </c>
      <c r="F2" t="s">
        <v>1205</v>
      </c>
      <c r="H2" s="12" t="s">
        <v>1203</v>
      </c>
      <c r="I2" t="s">
        <v>1205</v>
      </c>
      <c r="K2" s="12" t="s">
        <v>1203</v>
      </c>
      <c r="L2" t="s">
        <v>1218</v>
      </c>
      <c r="N2" s="12" t="s">
        <v>1218</v>
      </c>
    </row>
    <row r="3" spans="1:15">
      <c r="A3" s="13" t="s">
        <v>38</v>
      </c>
      <c r="B3" s="2">
        <v>2580125.7319999989</v>
      </c>
      <c r="E3" s="13" t="s">
        <v>32</v>
      </c>
      <c r="F3" s="2">
        <v>1647601.5100000007</v>
      </c>
      <c r="H3" s="13" t="s">
        <v>1206</v>
      </c>
      <c r="I3" s="2">
        <v>890424.49349999998</v>
      </c>
      <c r="K3" s="13" t="s">
        <v>55</v>
      </c>
      <c r="L3" s="2">
        <v>177</v>
      </c>
      <c r="N3" s="2">
        <v>1100</v>
      </c>
    </row>
    <row r="4" spans="1:15">
      <c r="A4" s="13" t="s">
        <v>25</v>
      </c>
      <c r="B4" s="2">
        <v>2899898.1179999998</v>
      </c>
      <c r="E4" s="13" t="s">
        <v>80</v>
      </c>
      <c r="F4" s="2">
        <v>1400504.82</v>
      </c>
      <c r="H4" s="13" t="s">
        <v>1207</v>
      </c>
      <c r="I4" s="2">
        <v>1188321.675</v>
      </c>
      <c r="K4" s="13" t="s">
        <v>16</v>
      </c>
      <c r="L4" s="2">
        <v>554</v>
      </c>
    </row>
    <row r="5" spans="1:15">
      <c r="A5" s="13" t="s">
        <v>35</v>
      </c>
      <c r="B5" s="2">
        <v>2547506.6469999989</v>
      </c>
      <c r="E5" s="13" t="s">
        <v>47</v>
      </c>
      <c r="F5" s="2">
        <v>1484774.7845000005</v>
      </c>
      <c r="H5" s="13" t="s">
        <v>1208</v>
      </c>
      <c r="I5" s="2">
        <v>1310963.6880000003</v>
      </c>
      <c r="K5" s="13" t="s">
        <v>22</v>
      </c>
      <c r="L5" s="2">
        <v>189</v>
      </c>
      <c r="N5" t="s">
        <v>1219</v>
      </c>
    </row>
    <row r="6" spans="1:15">
      <c r="A6" s="13" t="s">
        <v>20</v>
      </c>
      <c r="B6" s="2">
        <v>3200616.4784999979</v>
      </c>
      <c r="E6" s="13" t="s">
        <v>53</v>
      </c>
      <c r="F6" s="2">
        <v>2049161.1840000006</v>
      </c>
      <c r="H6" s="13" t="s">
        <v>1209</v>
      </c>
      <c r="I6" s="2">
        <v>1017549.3379999998</v>
      </c>
      <c r="K6" s="13" t="s">
        <v>28</v>
      </c>
      <c r="L6" s="2">
        <v>180</v>
      </c>
      <c r="N6" s="2">
        <v>12216.110561363632</v>
      </c>
    </row>
    <row r="7" spans="1:15">
      <c r="A7" s="13" t="s">
        <v>13</v>
      </c>
      <c r="B7" s="2">
        <v>2209574.642</v>
      </c>
      <c r="E7" s="13" t="s">
        <v>44</v>
      </c>
      <c r="F7" s="2">
        <v>1654906.416</v>
      </c>
      <c r="H7" s="13" t="s">
        <v>1210</v>
      </c>
      <c r="I7" s="2">
        <v>964522.13799999992</v>
      </c>
      <c r="K7" s="13" t="s">
        <v>1204</v>
      </c>
      <c r="L7" s="2">
        <v>1100</v>
      </c>
    </row>
    <row r="8" spans="1:15">
      <c r="A8" s="13" t="s">
        <v>1204</v>
      </c>
      <c r="B8" s="2">
        <v>13437721.617499996</v>
      </c>
      <c r="E8" s="13" t="s">
        <v>27</v>
      </c>
      <c r="F8" s="2">
        <v>1706124.845</v>
      </c>
      <c r="H8" s="13" t="s">
        <v>1211</v>
      </c>
      <c r="I8" s="2">
        <v>1256588.7500000009</v>
      </c>
      <c r="N8" s="12" t="s">
        <v>1205</v>
      </c>
    </row>
    <row r="9" spans="1:15">
      <c r="E9" s="13" t="s">
        <v>1160</v>
      </c>
      <c r="F9" s="2">
        <v>1697372.6759999995</v>
      </c>
      <c r="H9" s="13" t="s">
        <v>1212</v>
      </c>
      <c r="I9" s="2">
        <v>1470854.8179999997</v>
      </c>
      <c r="N9" s="2">
        <v>13437721.617499996</v>
      </c>
    </row>
    <row r="10" spans="1:15">
      <c r="E10" s="13" t="s">
        <v>15</v>
      </c>
      <c r="F10" s="2">
        <v>1797275.3819999998</v>
      </c>
      <c r="H10" s="13" t="s">
        <v>1213</v>
      </c>
      <c r="I10" s="2">
        <v>1002404.062</v>
      </c>
    </row>
    <row r="11" spans="1:15">
      <c r="E11" s="13" t="s">
        <v>1204</v>
      </c>
      <c r="F11" s="2">
        <v>13437721.6175</v>
      </c>
      <c r="H11" s="13" t="s">
        <v>1214</v>
      </c>
      <c r="I11" s="2">
        <v>1141100.5299999996</v>
      </c>
      <c r="N11" s="12" t="s">
        <v>1203</v>
      </c>
      <c r="O11" t="s">
        <v>1220</v>
      </c>
    </row>
    <row r="12" spans="1:15">
      <c r="H12" s="13" t="s">
        <v>1215</v>
      </c>
      <c r="I12" s="2">
        <v>1274850.3679999998</v>
      </c>
      <c r="N12" s="13" t="s">
        <v>16</v>
      </c>
      <c r="O12" s="2">
        <v>554</v>
      </c>
    </row>
    <row r="13" spans="1:15">
      <c r="H13" s="13" t="s">
        <v>1216</v>
      </c>
      <c r="I13" s="2">
        <v>932916.36199999996</v>
      </c>
      <c r="N13" s="13" t="s">
        <v>1204</v>
      </c>
      <c r="O13" s="2">
        <v>554</v>
      </c>
    </row>
    <row r="14" spans="1:15">
      <c r="H14" s="13" t="s">
        <v>1217</v>
      </c>
      <c r="I14" s="2">
        <v>987225.39499999979</v>
      </c>
    </row>
    <row r="15" spans="1:15">
      <c r="H15" s="13" t="s">
        <v>1204</v>
      </c>
      <c r="I15" s="2">
        <v>13437721.6175</v>
      </c>
    </row>
    <row r="16" spans="1:15">
      <c r="F16" s="14"/>
    </row>
    <row r="18" spans="4:12" ht="28.8" customHeight="1">
      <c r="D18" s="8"/>
      <c r="E18" s="15" t="s">
        <v>1201</v>
      </c>
      <c r="F18" s="15"/>
      <c r="H18" s="15" t="s">
        <v>1202</v>
      </c>
      <c r="I18" s="15"/>
      <c r="K18" s="15"/>
      <c r="L18" s="15"/>
    </row>
    <row r="19" spans="4:12">
      <c r="E19" s="12" t="s">
        <v>1203</v>
      </c>
      <c r="F19" t="s">
        <v>1205</v>
      </c>
      <c r="H19" s="14" t="s">
        <v>1203</v>
      </c>
      <c r="I19" s="14" t="s">
        <v>1205</v>
      </c>
      <c r="K19" s="14"/>
      <c r="L19" s="14"/>
    </row>
    <row r="20" spans="4:12">
      <c r="E20" s="13" t="s">
        <v>33</v>
      </c>
      <c r="F20" s="2">
        <v>10090942.261999996</v>
      </c>
      <c r="H20" s="13" t="s">
        <v>17</v>
      </c>
      <c r="I20" s="2">
        <v>2688398.1549999998</v>
      </c>
      <c r="K20" s="13"/>
      <c r="L20" s="2"/>
    </row>
    <row r="21" spans="4:12">
      <c r="E21" s="13" t="s">
        <v>18</v>
      </c>
      <c r="F21" s="2">
        <v>3346779.3555000005</v>
      </c>
      <c r="H21" s="13" t="s">
        <v>23</v>
      </c>
      <c r="I21" s="2">
        <v>2356422.0640000002</v>
      </c>
      <c r="K21" s="13"/>
      <c r="L21" s="2"/>
    </row>
    <row r="22" spans="4:12">
      <c r="E22" s="13" t="s">
        <v>1204</v>
      </c>
      <c r="F22" s="2">
        <v>13437721.617499996</v>
      </c>
      <c r="H22" s="13" t="s">
        <v>29</v>
      </c>
      <c r="I22" s="2">
        <v>2669093.9904999998</v>
      </c>
      <c r="K22" s="13"/>
      <c r="L22" s="2"/>
    </row>
    <row r="23" spans="4:12">
      <c r="H23" s="13" t="s">
        <v>40</v>
      </c>
      <c r="I23" s="2">
        <v>2734927.3959999993</v>
      </c>
      <c r="K23" s="13"/>
      <c r="L23" s="2"/>
    </row>
    <row r="24" spans="4:12">
      <c r="H24" s="13" t="s">
        <v>49</v>
      </c>
      <c r="I24" s="2">
        <v>2988880.0120000001</v>
      </c>
      <c r="K24" s="13"/>
      <c r="L24" s="2"/>
    </row>
  </sheetData>
  <mergeCells count="7">
    <mergeCell ref="A1:B1"/>
    <mergeCell ref="E1:F1"/>
    <mergeCell ref="H1:I1"/>
    <mergeCell ref="K1:L1"/>
    <mergeCell ref="E18:F18"/>
    <mergeCell ref="H18:I18"/>
    <mergeCell ref="K18:L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zoomScale="85" zoomScaleNormal="85" workbookViewId="0">
      <selection activeCell="Y15" sqref="Y15"/>
    </sheetView>
  </sheetViews>
  <sheetFormatPr defaultRowHeight="14.4"/>
  <cols>
    <col min="20" max="20" width="23" customWidth="1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Ecommerce_Raw_Data (2)</vt:lpstr>
      <vt:lpstr>analysis</vt:lpstr>
      <vt:lpstr>pivot</vt:lpstr>
      <vt:lpstr>dashboard</vt:lpstr>
      <vt:lpstr>order</vt:lpstr>
      <vt:lpstr>orders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Tyagi</dc:creator>
  <cp:lastModifiedBy>ADITYA TYAGI</cp:lastModifiedBy>
  <dcterms:created xsi:type="dcterms:W3CDTF">2026-06-24T09:04:04Z</dcterms:created>
  <dcterms:modified xsi:type="dcterms:W3CDTF">2026-06-24T12:35:34Z</dcterms:modified>
</cp:coreProperties>
</file>